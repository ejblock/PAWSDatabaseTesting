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svsu0-my.sharepoint.com/personal/bdsteink_svsu_edu/Documents/CS471/"/>
    </mc:Choice>
  </mc:AlternateContent>
  <xr:revisionPtr revIDLastSave="529" documentId="8_{50FFAFF8-F446-4552-B675-B150689E526B}" xr6:coauthVersionLast="47" xr6:coauthVersionMax="47" xr10:uidLastSave="{5F0C7F51-4286-409B-B9F8-FE34E6C51E3D}"/>
  <bookViews>
    <workbookView xWindow="-20610" yWindow="4485" windowWidth="20730" windowHeight="11040" firstSheet="2" activeTab="5" xr2:uid="{ECD2A0D7-8A8D-4C14-9649-C98237C2513E}"/>
  </bookViews>
  <sheets>
    <sheet name="Eastin Block" sheetId="10" r:id="rId1"/>
    <sheet name="Alyssa Lilly" sheetId="12" r:id="rId2"/>
    <sheet name="Madison Koscielski" sheetId="7" r:id="rId3"/>
    <sheet name="Rosh Mizoory" sheetId="5" r:id="rId4"/>
    <sheet name="Jacob Riedel" sheetId="9" r:id="rId5"/>
    <sheet name="Bowen Steinke" sheetId="11" r:id="rId6"/>
    <sheet name="Lukas White" sheetId="8" r:id="rId7"/>
    <sheet name="Max Yaw" sheetId="6" r:id="rId8"/>
    <sheet name="Team Member Name" sheetId="1"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5" i="11" l="1"/>
  <c r="F66" i="11"/>
  <c r="F67" i="11"/>
  <c r="F64" i="11"/>
  <c r="D65" i="11"/>
  <c r="D66" i="11"/>
  <c r="D67" i="11"/>
  <c r="D64" i="11"/>
  <c r="F58" i="11"/>
  <c r="F59" i="11"/>
  <c r="F60" i="11"/>
  <c r="F61" i="11"/>
  <c r="F57" i="11"/>
  <c r="D57" i="11"/>
  <c r="D58" i="11"/>
  <c r="D61" i="11"/>
  <c r="D60" i="11"/>
  <c r="D59" i="11"/>
  <c r="D54" i="11"/>
  <c r="D53" i="11"/>
  <c r="D50" i="11"/>
  <c r="D49" i="11"/>
  <c r="D48" i="11"/>
  <c r="F54" i="11"/>
  <c r="F53" i="11"/>
  <c r="F49" i="11"/>
  <c r="F50" i="11"/>
  <c r="F48" i="11"/>
  <c r="F51" i="12"/>
  <c r="F50" i="12"/>
  <c r="F47" i="12"/>
  <c r="F46" i="12"/>
  <c r="F49" i="10"/>
  <c r="F50" i="10"/>
  <c r="F45" i="10"/>
  <c r="F48" i="10"/>
  <c r="F44" i="10"/>
  <c r="F59" i="9"/>
  <c r="F55" i="9"/>
  <c r="F56" i="9"/>
  <c r="F54" i="9"/>
  <c r="F66" i="8"/>
  <c r="F67" i="8"/>
  <c r="F68" i="8"/>
  <c r="F62" i="8"/>
  <c r="F65" i="8"/>
  <c r="F61" i="8"/>
  <c r="F57" i="7"/>
  <c r="F58" i="7"/>
  <c r="F59" i="7"/>
  <c r="F60" i="7"/>
  <c r="F61" i="7"/>
  <c r="F62" i="7"/>
  <c r="F63" i="7"/>
  <c r="F64" i="7"/>
  <c r="F65" i="7"/>
  <c r="F56" i="7"/>
  <c r="F47" i="7"/>
  <c r="F48" i="7"/>
  <c r="F49" i="7"/>
  <c r="F50" i="7"/>
  <c r="F51" i="7"/>
  <c r="F52" i="7"/>
  <c r="F53" i="7"/>
  <c r="F46" i="7"/>
  <c r="F43" i="7"/>
  <c r="F42" i="7"/>
  <c r="F59" i="5"/>
  <c r="F58" i="5"/>
  <c r="F54" i="5"/>
  <c r="F55" i="5"/>
  <c r="F53" i="5"/>
  <c r="F52" i="6"/>
  <c r="F46" i="6"/>
  <c r="F43" i="6"/>
  <c r="F42" i="6"/>
  <c r="F41" i="10"/>
  <c r="F38" i="6"/>
  <c r="F39" i="6"/>
  <c r="F37" i="6"/>
  <c r="F58" i="8"/>
  <c r="F57" i="8"/>
  <c r="F53" i="8"/>
  <c r="F52" i="8"/>
  <c r="F48" i="8"/>
  <c r="F49" i="8"/>
  <c r="F47" i="8"/>
  <c r="F50" i="9"/>
  <c r="F51" i="9"/>
  <c r="F45" i="9"/>
  <c r="F46" i="9"/>
  <c r="F49" i="9"/>
  <c r="F44" i="9"/>
  <c r="F40" i="9"/>
  <c r="F41" i="9"/>
  <c r="F39" i="9"/>
  <c r="F50" i="5"/>
  <c r="F49" i="5"/>
  <c r="F46" i="5"/>
  <c r="F45" i="5"/>
  <c r="F39" i="7"/>
  <c r="F42" i="12"/>
  <c r="F43" i="12"/>
  <c r="F41" i="12"/>
  <c r="F41" i="11" l="1"/>
  <c r="F42" i="11"/>
  <c r="F43" i="11"/>
  <c r="F44" i="11"/>
  <c r="F45" i="11"/>
  <c r="D41" i="11"/>
  <c r="D42" i="11"/>
  <c r="D43" i="11"/>
  <c r="D44" i="11"/>
  <c r="D45" i="11"/>
  <c r="D40" i="11"/>
  <c r="F40" i="11"/>
  <c r="F34" i="6"/>
  <c r="F33" i="6"/>
  <c r="F32" i="6"/>
  <c r="F38" i="5"/>
  <c r="F39" i="5"/>
  <c r="F40" i="5"/>
  <c r="F41" i="5"/>
  <c r="F42" i="5"/>
  <c r="F37" i="5"/>
  <c r="F35" i="7"/>
  <c r="F34" i="7"/>
  <c r="F33" i="7"/>
  <c r="F38" i="10"/>
  <c r="F37" i="10"/>
  <c r="F36" i="10"/>
  <c r="F33" i="10"/>
  <c r="F32" i="10"/>
  <c r="F31" i="10"/>
  <c r="F38" i="12"/>
  <c r="F37" i="12"/>
  <c r="F36" i="12"/>
  <c r="F35" i="12"/>
  <c r="F34" i="12"/>
  <c r="F28" i="10" l="1"/>
  <c r="F27" i="10"/>
  <c r="F26" i="10"/>
  <c r="F25" i="10"/>
  <c r="F44" i="8"/>
  <c r="F43" i="8"/>
  <c r="F42" i="8"/>
  <c r="F41" i="8"/>
  <c r="F40" i="8"/>
  <c r="F39" i="8"/>
  <c r="F38" i="8"/>
  <c r="F37" i="8"/>
  <c r="F34" i="8"/>
  <c r="F30" i="7"/>
  <c r="F29" i="7"/>
  <c r="F28" i="7"/>
  <c r="F37" i="11"/>
  <c r="D37" i="11"/>
  <c r="D36" i="11"/>
  <c r="F36" i="11"/>
  <c r="F35" i="11"/>
  <c r="D35" i="11"/>
  <c r="D34" i="11"/>
  <c r="D33" i="11"/>
  <c r="F34" i="11"/>
  <c r="F33" i="11"/>
  <c r="F27" i="6"/>
  <c r="F28" i="6"/>
  <c r="F29" i="6"/>
  <c r="F26" i="6"/>
  <c r="F33" i="9"/>
  <c r="F34" i="9"/>
  <c r="F35" i="9"/>
  <c r="F36" i="9"/>
  <c r="F32" i="9"/>
  <c r="F29" i="5"/>
  <c r="F32" i="5"/>
  <c r="F33" i="5"/>
  <c r="F34" i="5"/>
  <c r="F28" i="5"/>
  <c r="F28" i="12"/>
  <c r="F29" i="12"/>
  <c r="F30" i="12"/>
  <c r="F31" i="12"/>
  <c r="F27" i="12"/>
  <c r="F30" i="11"/>
  <c r="D28" i="11"/>
  <c r="D29" i="11"/>
  <c r="D30" i="11"/>
  <c r="F28" i="11"/>
  <c r="F29" i="11"/>
  <c r="F27" i="11"/>
  <c r="D27" i="11"/>
  <c r="F25" i="5"/>
  <c r="F24" i="5"/>
  <c r="F23" i="6"/>
  <c r="F22" i="6"/>
  <c r="F21" i="6"/>
  <c r="F18" i="6"/>
  <c r="F31" i="8"/>
  <c r="F30" i="8"/>
  <c r="F18" i="8"/>
  <c r="F19" i="8"/>
  <c r="F20" i="8"/>
  <c r="F21" i="8"/>
  <c r="F22" i="8"/>
  <c r="F23" i="8"/>
  <c r="F24" i="8"/>
  <c r="F25" i="8"/>
  <c r="F26" i="8"/>
  <c r="F27" i="8"/>
  <c r="F17" i="8"/>
  <c r="F22" i="7"/>
  <c r="F23" i="7"/>
  <c r="F24" i="7"/>
  <c r="F25" i="7"/>
  <c r="F21" i="7"/>
  <c r="D22" i="7"/>
  <c r="D23" i="7"/>
  <c r="D24" i="7"/>
  <c r="D25" i="7"/>
  <c r="D21" i="7"/>
  <c r="D20" i="9"/>
  <c r="D21" i="9"/>
  <c r="D22" i="9"/>
  <c r="D19" i="9"/>
  <c r="F26" i="9"/>
  <c r="F27" i="9"/>
  <c r="F28" i="9"/>
  <c r="F29" i="9"/>
  <c r="F25" i="9"/>
  <c r="F18" i="9"/>
  <c r="F24" i="12"/>
  <c r="F23" i="12"/>
  <c r="F22" i="12"/>
  <c r="F21" i="12"/>
  <c r="D18" i="12"/>
  <c r="D17" i="12"/>
  <c r="F18" i="12"/>
  <c r="F17" i="12"/>
  <c r="F21" i="10"/>
  <c r="F22" i="10"/>
  <c r="F20" i="10"/>
  <c r="F24" i="11" l="1"/>
  <c r="D24" i="11"/>
  <c r="F23" i="11"/>
  <c r="D23" i="11"/>
  <c r="F22" i="11"/>
  <c r="D22" i="11"/>
  <c r="F21" i="5"/>
  <c r="D21" i="5"/>
  <c r="F17" i="10"/>
  <c r="D17" i="10"/>
  <c r="F18" i="7"/>
  <c r="D18" i="7"/>
  <c r="F15" i="6"/>
  <c r="F15" i="7"/>
  <c r="D15" i="7"/>
  <c r="F14" i="7"/>
  <c r="D14" i="7"/>
  <c r="F11" i="7"/>
  <c r="F14" i="12" l="1"/>
  <c r="D14" i="12"/>
  <c r="F15" i="9"/>
  <c r="D15" i="9"/>
  <c r="F14" i="8"/>
  <c r="D14" i="8"/>
  <c r="F14" i="10"/>
  <c r="D14" i="10"/>
  <c r="F19" i="11"/>
  <c r="D19" i="11"/>
  <c r="F18" i="11"/>
  <c r="D18" i="11"/>
  <c r="F17" i="11"/>
  <c r="D17" i="11"/>
  <c r="F18" i="5"/>
  <c r="D18" i="5"/>
  <c r="F17" i="5"/>
  <c r="D17" i="5"/>
  <c r="F16" i="5"/>
  <c r="D16" i="5"/>
  <c r="F12" i="9"/>
  <c r="F11" i="9"/>
  <c r="F14" i="11"/>
  <c r="D14" i="11"/>
  <c r="F12" i="6"/>
  <c r="F11" i="6"/>
  <c r="F8" i="6"/>
  <c r="D7" i="11"/>
  <c r="D13" i="11"/>
  <c r="F13" i="11"/>
  <c r="D12" i="11"/>
  <c r="F12" i="11"/>
  <c r="F13" i="5"/>
  <c r="D13" i="5"/>
  <c r="D11" i="5"/>
  <c r="D12" i="5"/>
  <c r="D10" i="5"/>
  <c r="F11" i="5"/>
  <c r="F10" i="5"/>
  <c r="F10" i="7"/>
  <c r="D11" i="7"/>
  <c r="D10" i="7"/>
  <c r="F11" i="12"/>
  <c r="F10" i="12"/>
  <c r="F11" i="10"/>
  <c r="F10" i="10"/>
  <c r="F8" i="8"/>
  <c r="F7" i="10"/>
  <c r="D7" i="10"/>
  <c r="F7" i="12"/>
  <c r="D7" i="12"/>
  <c r="F7" i="7"/>
  <c r="D7" i="7"/>
  <c r="F7" i="5"/>
  <c r="D7" i="5"/>
  <c r="F7" i="8"/>
  <c r="D7" i="8"/>
  <c r="F8" i="9"/>
  <c r="D8" i="9"/>
  <c r="F9" i="11"/>
  <c r="D9" i="11"/>
  <c r="F8" i="11"/>
  <c r="D8" i="11"/>
  <c r="F7" i="11"/>
  <c r="F4" i="11"/>
  <c r="D4" i="5"/>
  <c r="D4" i="6"/>
  <c r="D4" i="7"/>
  <c r="D4" i="8"/>
  <c r="D4" i="9"/>
  <c r="D4" i="10"/>
  <c r="F4" i="12"/>
  <c r="D4" i="12"/>
  <c r="D4" i="11"/>
  <c r="F4" i="10"/>
  <c r="F4" i="9"/>
  <c r="F4" i="8"/>
  <c r="F4" i="7"/>
  <c r="F4" i="6"/>
  <c r="F4" i="5"/>
  <c r="F4" i="1"/>
  <c r="D4" i="1"/>
</calcChain>
</file>

<file path=xl/sharedStrings.xml><?xml version="1.0" encoding="utf-8"?>
<sst xmlns="http://schemas.openxmlformats.org/spreadsheetml/2006/main" count="444" uniqueCount="267">
  <si>
    <t>Task Name</t>
  </si>
  <si>
    <t>Start Date</t>
  </si>
  <si>
    <t>Due Date</t>
  </si>
  <si>
    <t>Days Left</t>
  </si>
  <si>
    <t>End Date</t>
  </si>
  <si>
    <t>Complete?</t>
  </si>
  <si>
    <t>Group Lead Comments</t>
  </si>
  <si>
    <t>Week of January 18, 226</t>
  </si>
  <si>
    <t>Weekly Meeting</t>
  </si>
  <si>
    <t>Week of January 26, 2026</t>
  </si>
  <si>
    <t>Week of February 1, 2026</t>
  </si>
  <si>
    <t>Meeting</t>
  </si>
  <si>
    <t>Database Testing</t>
  </si>
  <si>
    <t>Week of February 8, 2026</t>
  </si>
  <si>
    <t>Week of February 15th</t>
  </si>
  <si>
    <t>weekly meeting</t>
  </si>
  <si>
    <t>Week of January 18, 2026</t>
  </si>
  <si>
    <t>Week of February 1st 2026</t>
  </si>
  <si>
    <t>Weekly meeting attendance</t>
  </si>
  <si>
    <t>Testing Events Folder Files</t>
  </si>
  <si>
    <t>Week of February 8th 2026</t>
  </si>
  <si>
    <t>Missed meeting due to illness</t>
  </si>
  <si>
    <t>Week of January 26, 226</t>
  </si>
  <si>
    <t>Week of February 1st</t>
  </si>
  <si>
    <t>SqlClientManager</t>
  </si>
  <si>
    <t>Communications from dev revealed this file was a template and not necessary for production. No further action on this item is required.</t>
  </si>
  <si>
    <t>Week of February 8th</t>
  </si>
  <si>
    <t xml:space="preserve">take meeting minutes </t>
  </si>
  <si>
    <t>Week of February 1st, 2026</t>
  </si>
  <si>
    <t>Created and pushed tests for VetVisits and Vaccines</t>
  </si>
  <si>
    <t>Cleaned and formatted the test section in QA Doc Suggestions</t>
  </si>
  <si>
    <t>Continued cleaning up the group folder and fixed the bug tab in QA Doc Suggestions</t>
  </si>
  <si>
    <t xml:space="preserve"> </t>
  </si>
  <si>
    <t>Rosh did not attend the meeting, but he let me know beforehand</t>
  </si>
  <si>
    <t>Week of February 8th, 2026</t>
  </si>
  <si>
    <t>Weekly meeting attendance (Monday)</t>
  </si>
  <si>
    <t>Fixed and updated the QA Doc Suggestions file then deleted the bug section and combined it with tests to avoid confusion. Also spoke to members of dev about changes we could make inorder to make information more accessible to their team.</t>
  </si>
  <si>
    <t>Created Bug History tab in QA Doc and added missing information.</t>
  </si>
  <si>
    <t>Weekly meeting</t>
  </si>
  <si>
    <t>Attended Meeting</t>
  </si>
  <si>
    <t>Created tests for home folder files</t>
  </si>
  <si>
    <t>Attended meeting</t>
  </si>
  <si>
    <t>Unable to attend, but let group know in advance.</t>
  </si>
  <si>
    <t>Attended QA weekly meeting</t>
  </si>
  <si>
    <t>Explored class's GitHub Repo</t>
  </si>
  <si>
    <t>QA/Dev workflow</t>
  </si>
  <si>
    <t>Week of February 2, 2026</t>
  </si>
  <si>
    <t>Set up QA Testing Branch</t>
  </si>
  <si>
    <t>Tested People files (Person &amp; Volunteer)</t>
  </si>
  <si>
    <t>Reported tests</t>
  </si>
  <si>
    <t>Merged QA team member PRs to QA_Testing_Branch</t>
  </si>
  <si>
    <t>Merged Sprint 2 into QA Testing Branch</t>
  </si>
  <si>
    <t>Merged QA Testing Branch into new QA Sprint1 branch</t>
  </si>
  <si>
    <t>Created Demo Video</t>
  </si>
  <si>
    <t>Attended meeting 3</t>
  </si>
  <si>
    <t>Week of February 9, 2026</t>
  </si>
  <si>
    <t>Meeting date was changed too late, scheduling confliction could not be resolved</t>
  </si>
  <si>
    <t>Week of January 25th</t>
  </si>
  <si>
    <t>Week of february 1st</t>
  </si>
  <si>
    <t>Pet, Surgery, Prevention Unit Testing</t>
  </si>
  <si>
    <t>Week of February 9th</t>
  </si>
  <si>
    <t>Week of February 23rd</t>
  </si>
  <si>
    <t>Week of February 22, 2026</t>
  </si>
  <si>
    <t>Test Database Structure and Dependency</t>
  </si>
  <si>
    <t xml:space="preserve">Test Database Table Elements </t>
  </si>
  <si>
    <t>Week of February 15th 2026</t>
  </si>
  <si>
    <t>Database Testing For Sprint 2 - Found not Possible</t>
  </si>
  <si>
    <t>Week of February 22nd 2026</t>
  </si>
  <si>
    <t>Installed all necessary programs for DB</t>
  </si>
  <si>
    <t>Researched TSQLT - Attempted Startup</t>
  </si>
  <si>
    <t>Testing for Sprint 2 Changed to Stored Procedures</t>
  </si>
  <si>
    <t>Week of February 15, 2026</t>
  </si>
  <si>
    <t>Created tests for FileRecord.cs</t>
  </si>
  <si>
    <t>Created tests for Folder.cs</t>
  </si>
  <si>
    <t>Created tests for Expense.cs</t>
  </si>
  <si>
    <t>Created tests for Revenue.cs</t>
  </si>
  <si>
    <t>Week of Febraury 22nd</t>
  </si>
  <si>
    <t>Create Unit Tests For 53 Stored Procedures</t>
  </si>
  <si>
    <t>Did Research on SQL Injection Testing</t>
  </si>
  <si>
    <t>Created a guide on how to install and use tSQLt for unit testing</t>
  </si>
  <si>
    <t>Attended meeting 4</t>
  </si>
  <si>
    <t>Assigned Sprint 2 Tasks</t>
  </si>
  <si>
    <t>Test DropdownComponents.cs</t>
  </si>
  <si>
    <t>Test RoundedDropdown.cs</t>
  </si>
  <si>
    <t>Test DataBox.cs</t>
  </si>
  <si>
    <t>Test EmptyTextbox.cs</t>
  </si>
  <si>
    <t>Test EmptyTextboxUnseen.cs</t>
  </si>
  <si>
    <t>Test Password.cs</t>
  </si>
  <si>
    <t>Test PasswordUnseen.cs</t>
  </si>
  <si>
    <t>Test Searchbox.cs</t>
  </si>
  <si>
    <t>Test UsernameTextbox.cs</t>
  </si>
  <si>
    <t>Fix Github merge issue</t>
  </si>
  <si>
    <t>Week of February 16</t>
  </si>
  <si>
    <t>2/19/026</t>
  </si>
  <si>
    <t>Week of February 23</t>
  </si>
  <si>
    <t xml:space="preserve">Created test and manual tested checkbox </t>
  </si>
  <si>
    <t>Investigated WinForms UI testing limitations and documented blockers by current code behind structure</t>
  </si>
  <si>
    <t>Week of February 22nd, 2026</t>
  </si>
  <si>
    <t>Weekly meeting attendance (Thursday)</t>
  </si>
  <si>
    <t>Started testing DB for correct implementation of stored procedures</t>
  </si>
  <si>
    <t>Started Manual Testing on PeopleMain.cs and CreateEditPeople.cs</t>
  </si>
  <si>
    <t>Review Button and Card component files</t>
  </si>
  <si>
    <t>Week of March 8th 2026</t>
  </si>
  <si>
    <t>Testing GUI - Visual Appearance Check-In</t>
  </si>
  <si>
    <t>Testing GUI - Components Check-In</t>
  </si>
  <si>
    <t>Testing GUI - Visual Appearance Final Version</t>
  </si>
  <si>
    <t>Testing GUI - Components Final Version</t>
  </si>
  <si>
    <t>Week of March 1st, 2026</t>
  </si>
  <si>
    <t>Finished testing DB for correct implementation of stored procedures, verified reset workflow, and submitted QA pull request as well as creating PR for QA_Testing_Rosh</t>
  </si>
  <si>
    <t>Week of March 8th, 2026</t>
  </si>
  <si>
    <t>Weekly meeting attendance (Tuesday)</t>
  </si>
  <si>
    <t>Added Sprint 4 tab to Excel and verified that bugs were correctly placed into bug history tab</t>
  </si>
  <si>
    <t>Began working on sprint 4 - Database/Data - Connection of DB to Application, Roles, SQL Injection</t>
  </si>
  <si>
    <t>Week of March 1, 2026</t>
  </si>
  <si>
    <t>Missed teams meeting (Spring break)</t>
  </si>
  <si>
    <t>Non-mandatory meeting during spring break.</t>
  </si>
  <si>
    <t>Week of March 1</t>
  </si>
  <si>
    <t>Weekly meeting (sprint 2)</t>
  </si>
  <si>
    <t>Comlpleted unit tests for all common components and manual tested</t>
  </si>
  <si>
    <t>Completed Unit tests for all menu side bar components and manual tested</t>
  </si>
  <si>
    <t>Completed manual testing for PetMain and CreatePet forms</t>
  </si>
  <si>
    <t>Week of March 8</t>
  </si>
  <si>
    <t>Review GUI requirements</t>
  </si>
  <si>
    <t>Merge sprint 3</t>
  </si>
  <si>
    <t>Store sprint 2 tests in new branch</t>
  </si>
  <si>
    <t>Reviewed button styling components</t>
  </si>
  <si>
    <t>worked with dev to merge first part of sprint 4</t>
  </si>
  <si>
    <t>Week of March 8th</t>
  </si>
  <si>
    <t>Attended Weekly Meeting</t>
  </si>
  <si>
    <t>Had a discussion with Devs Database team about issues found in last weeks testing</t>
  </si>
  <si>
    <t>Had a discussion with Devs Database team about tSQLt unit testing</t>
  </si>
  <si>
    <t>Week of March 8, 2026</t>
  </si>
  <si>
    <t>Test CalendarHelpers.cs</t>
  </si>
  <si>
    <t>Test HomeHelper.cs</t>
  </si>
  <si>
    <t>Test PeopleWithHomesHelper.cs</t>
  </si>
  <si>
    <t>Test PetWithHomesHelper.cs</t>
  </si>
  <si>
    <t>Will update doc to be more specific with these later when learn more</t>
  </si>
  <si>
    <t>Test Forms</t>
  </si>
  <si>
    <t>Test PetForms</t>
  </si>
  <si>
    <t>Test DropdownComponents</t>
  </si>
  <si>
    <t>Test Text_Components</t>
  </si>
  <si>
    <t>Figure out compilation issues for the database and QA_TEST folder to report to dev</t>
  </si>
  <si>
    <t>Week of March 15th 2026</t>
  </si>
  <si>
    <t>Displayed and Described Graphic Designer's Inputs</t>
  </si>
  <si>
    <t>Met with Graphic Design Team</t>
  </si>
  <si>
    <t>Week of March 15th</t>
  </si>
  <si>
    <t>Week of March 22nd</t>
  </si>
  <si>
    <t>Test General Programming Requirements</t>
  </si>
  <si>
    <t>Write new tSQLt unit tests for new stored procedures</t>
  </si>
  <si>
    <t>Update previous tSQLt unit tests to account for table changes</t>
  </si>
  <si>
    <t>Week of March 15th, 2026</t>
  </si>
  <si>
    <t>Created and Pushed Tests for FileRecordHelper.cs</t>
  </si>
  <si>
    <t>Created and Pushed Tests for FolderHelper.cs</t>
  </si>
  <si>
    <t>Created and Pushed Tests for MedicalHelpers.cs</t>
  </si>
  <si>
    <t>Created and Pushed Tests for LoginHelper.cs</t>
  </si>
  <si>
    <t>Created and Pushed Tests for UIHelpers.cs</t>
  </si>
  <si>
    <t>Weeky Meeting</t>
  </si>
  <si>
    <t>sql injection tests</t>
  </si>
  <si>
    <t>started  helpers</t>
  </si>
  <si>
    <t>Week of March 15</t>
  </si>
  <si>
    <t>switched to general requirements for time being (3/21)</t>
  </si>
  <si>
    <t>Reviewed General Requirements 1-25</t>
  </si>
  <si>
    <t>Communicated with Doc on questions about ambiguous tests</t>
  </si>
  <si>
    <t>Created/Recorded tests for 19 requirements I could test</t>
  </si>
  <si>
    <t>Created document with issues/inconsistencies with UI (not bugs)</t>
  </si>
  <si>
    <t>Tested login screen and user.cs</t>
  </si>
  <si>
    <t>Still working on adding tests to spreadsheet and making git issues - finished (3/23/26)</t>
  </si>
  <si>
    <t>Week of March 22</t>
  </si>
  <si>
    <t>Communicated critical features for system: session timeout feature, scroll bars, object ownership (house, pet, person)</t>
  </si>
  <si>
    <t>updated/merged branches from sprint 5 to qa test branch</t>
  </si>
  <si>
    <t>Week of March 22th 2026</t>
  </si>
  <si>
    <t>Testing of Calendar Screen</t>
  </si>
  <si>
    <t>Documented Tests for Sprint 3.5</t>
  </si>
  <si>
    <t>Week of March 22nd, 2026</t>
  </si>
  <si>
    <t>Began general requirements testing</t>
  </si>
  <si>
    <t>Week of March 29th, 2026</t>
  </si>
  <si>
    <t>General requirements manual tests</t>
  </si>
  <si>
    <t>General requirements manula tests</t>
  </si>
  <si>
    <t>Week of March 22, 2026</t>
  </si>
  <si>
    <t>Investigated DB issues on personal machine</t>
  </si>
  <si>
    <t>Performed manual testing on pets screen</t>
  </si>
  <si>
    <t>Week of March 29, 2026</t>
  </si>
  <si>
    <t>Investigated and finally fully solved DB issues on personal machine</t>
  </si>
  <si>
    <t>Unit testing scrapped in favor of manual tests</t>
  </si>
  <si>
    <t>Week of March 15, 2026</t>
  </si>
  <si>
    <t>Week of March 29</t>
  </si>
  <si>
    <t>Reviewed MDARD Compliance laws</t>
  </si>
  <si>
    <t>Communicated issues with dev</t>
  </si>
  <si>
    <t>Week of March 16, 2026</t>
  </si>
  <si>
    <t>Attended via call</t>
  </si>
  <si>
    <t>Continue Testing</t>
  </si>
  <si>
    <t>Database Requirement Testing</t>
  </si>
  <si>
    <t>Week of March 23, 2026</t>
  </si>
  <si>
    <t>Finish Sprint 3/4</t>
  </si>
  <si>
    <t>Database setup guide review</t>
  </si>
  <si>
    <t>Week of March 30, 2026</t>
  </si>
  <si>
    <t xml:space="preserve">Github Pull Requests </t>
  </si>
  <si>
    <t>Week of March 16</t>
  </si>
  <si>
    <t>Finished 6 helper file tests</t>
  </si>
  <si>
    <t>Attended weekly meeting</t>
  </si>
  <si>
    <t>Started db requirement testing (10)</t>
  </si>
  <si>
    <t>Week of March 23</t>
  </si>
  <si>
    <t>DB requirement testing</t>
  </si>
  <si>
    <t>Weekyl meeting</t>
  </si>
  <si>
    <t>Week of March 29th</t>
  </si>
  <si>
    <t>Test Pet Page for bugs</t>
  </si>
  <si>
    <t>Week of April 5</t>
  </si>
  <si>
    <t>Communicated finances issue with Dev and helped fix</t>
  </si>
  <si>
    <t>Weekly meeting/huddle</t>
  </si>
  <si>
    <t>Picked up server</t>
  </si>
  <si>
    <t>Meeting with Carson to set up server</t>
  </si>
  <si>
    <t>Tested files and pet creation while connected to server</t>
  </si>
  <si>
    <t>Week of April 12</t>
  </si>
  <si>
    <t>Tested files, pets, homes, and person relationships</t>
  </si>
  <si>
    <t>Tested complete server installation process</t>
  </si>
  <si>
    <t>Updated the database on the server</t>
  </si>
  <si>
    <t>worked with carson to get last minute kinks out (automatic backups)</t>
  </si>
  <si>
    <t>Reviewed Requirements 25-45</t>
  </si>
  <si>
    <t>Week of March 30</t>
  </si>
  <si>
    <t>DB requirements testing. Restested all already tested on new code and finished the ones I could</t>
  </si>
  <si>
    <t>Week of April 6</t>
  </si>
  <si>
    <t>Week of April 13</t>
  </si>
  <si>
    <t>Nothing here finished all testing over weekend</t>
  </si>
  <si>
    <t>Week of April 5th, 2026</t>
  </si>
  <si>
    <t>Manual tests, Sprint 5 - DB V9 (Exclusively looking for and reporting bugs)</t>
  </si>
  <si>
    <t>Week of April 12th, 2026</t>
  </si>
  <si>
    <t>Manual tests, Sprint 5 - DB V10 (Exclusively looking for and reporting bugs)</t>
  </si>
  <si>
    <t>Manual tests, Sprint 5 - DB V10.1 (Exclusively looking for and reporting bugs)</t>
  </si>
  <si>
    <t>I am having a tendonitis flare up in my wrists which makes typing painful. I have been slower and have braces on my wrists. I have a doctors note if requested -Madison</t>
  </si>
  <si>
    <t>Updated Get Stored Procedure Unit Tests For DB Version 8</t>
  </si>
  <si>
    <t>Ran Unit Tests for Get Stored Procedures = no bugs found</t>
  </si>
  <si>
    <t>Week of April 5th</t>
  </si>
  <si>
    <t>Update Get Stored Procedure Unit Tests For DB Version 9: Total 70</t>
  </si>
  <si>
    <t>Update Create Stored Procedure Unit Tests For DB Version 9</t>
  </si>
  <si>
    <t>Update Delete Stored Procedure Unit Tests For DB Version 9</t>
  </si>
  <si>
    <t>Update Edit Stored Procedure Unit Tests For DB Version 9</t>
  </si>
  <si>
    <t>Update Add Stored Procedure Unit Tests For DB Version 9: Total 3</t>
  </si>
  <si>
    <t>Update Misc Stored Procedure Unit Tests For DB Version 9</t>
  </si>
  <si>
    <t>Create new GET stored procedure unit tests for DB Version 9: Made 21</t>
  </si>
  <si>
    <t>Create new ADD stored procedure unit tests for DB Version 9: Made 8</t>
  </si>
  <si>
    <t>Week of April 12th</t>
  </si>
  <si>
    <t>Update Get Stored Procedure Unit Tests for DB Version 10</t>
  </si>
  <si>
    <t>Update Create Stored Procedure Unit Tests For DB Version 10</t>
  </si>
  <si>
    <t>Update Delete Stored Procedure Unit Tests For DB Version 10</t>
  </si>
  <si>
    <t>Update Edit Stored Procedure Unit Tests For DB Version 10</t>
  </si>
  <si>
    <t>Update Add Stored Procedure Unit Tests For DB Version 10</t>
  </si>
  <si>
    <t>Update Misc Stored Procedure Unit Tests For DB Version 10</t>
  </si>
  <si>
    <t>Total Tests Modified and Run: 141</t>
  </si>
  <si>
    <t>Removed unit tests that didn't reflect the same schema from ver 9 &amp; some edge cases in favor of time. 141 unit tests now vs 193 mid march</t>
  </si>
  <si>
    <t>Created a pull request with updated files</t>
  </si>
  <si>
    <t>Documented all tests in a singular test line</t>
  </si>
  <si>
    <t>Week of April 6, 2026</t>
  </si>
  <si>
    <t>Week of April 13, 2026</t>
  </si>
  <si>
    <t>Test Databate Start up</t>
  </si>
  <si>
    <t>Peer Reviews</t>
  </si>
  <si>
    <t>Week of April 5, 2026</t>
  </si>
  <si>
    <t>Performed final tests before install</t>
  </si>
  <si>
    <t>Test PetMain.cs</t>
  </si>
  <si>
    <t>Test EditPet.cs</t>
  </si>
  <si>
    <t>Final testing for any critical bugs in system</t>
  </si>
  <si>
    <t>Check schema matches database structure</t>
  </si>
  <si>
    <t>Check/Test Installation Guide</t>
  </si>
  <si>
    <t>Week of March 29th 2026</t>
  </si>
  <si>
    <t>Testing of Calendar Screen - V8.1 of DB</t>
  </si>
  <si>
    <t>Week of April 5th 2026</t>
  </si>
  <si>
    <t>Testing of V10 of DB</t>
  </si>
  <si>
    <t>Multiple times throughout the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</si>
</sst>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2"/>
      <color theme="1"/>
      <name val="Calibri"/>
      <family val="2"/>
      <scheme val="minor"/>
    </font>
    <font>
      <i/>
      <sz val="11"/>
      <color theme="1"/>
      <name val="Calibri"/>
      <family val="2"/>
      <scheme val="minor"/>
    </font>
    <font>
      <sz val="11"/>
      <name val="Calibri"/>
      <family val="2"/>
      <scheme val="minor"/>
    </font>
    <font>
      <i/>
      <sz val="11"/>
      <color rgb="FF000000"/>
      <name val="Calibri"/>
      <family val="2"/>
      <scheme val="minor"/>
    </font>
    <font>
      <sz val="11"/>
      <color rgb="FF000000"/>
      <name val="Calibri"/>
      <family val="2"/>
      <scheme val="minor"/>
    </font>
    <font>
      <sz val="11"/>
      <color rgb="FF006100"/>
      <name val="Calibri"/>
      <family val="2"/>
      <scheme val="minor"/>
    </font>
    <font>
      <b/>
      <sz val="12"/>
      <color rgb="FF000000"/>
      <name val="Calibri"/>
      <family val="2"/>
      <scheme val="minor"/>
    </font>
    <font>
      <i/>
      <sz val="12"/>
      <color rgb="FF000000"/>
      <name val="Calibri"/>
      <family val="2"/>
      <scheme val="minor"/>
    </font>
    <font>
      <sz val="12"/>
      <color rgb="FF000000"/>
      <name val="Calibri"/>
      <family val="2"/>
      <scheme val="minor"/>
    </font>
    <font>
      <sz val="12"/>
      <name val="Calibri"/>
      <family val="2"/>
      <scheme val="minor"/>
    </font>
    <font>
      <sz val="12"/>
      <color rgb="FF000000"/>
      <name val="Calibri"/>
      <scheme val="minor"/>
    </font>
    <font>
      <b/>
      <i/>
      <sz val="11"/>
      <color rgb="FF000000"/>
      <name val="Calibri"/>
      <family val="2"/>
      <scheme val="minor"/>
    </font>
    <font>
      <b/>
      <sz val="11"/>
      <color theme="1"/>
      <name val="Calibri"/>
      <family val="2"/>
      <scheme val="minor"/>
    </font>
    <font>
      <sz val="12"/>
      <color theme="1"/>
      <name val="Calibri"/>
      <family val="2"/>
      <scheme val="minor"/>
    </font>
    <font>
      <sz val="11"/>
      <color rgb="FF000000"/>
      <name val="Calibri"/>
      <charset val="1"/>
    </font>
    <font>
      <i/>
      <sz val="11"/>
      <color rgb="FF000000"/>
      <name val="Calibri"/>
      <scheme val="minor"/>
    </font>
    <font>
      <i/>
      <sz val="12"/>
      <color theme="1"/>
      <name val="Calibri"/>
      <family val="2"/>
      <scheme val="minor"/>
    </font>
    <font>
      <sz val="12"/>
      <color rgb="FF006100"/>
      <name val="Calibri"/>
      <family val="2"/>
      <scheme val="minor"/>
    </font>
    <font>
      <b/>
      <sz val="11"/>
      <color rgb="FF000000"/>
      <name val="Calibri"/>
      <scheme val="minor"/>
    </font>
    <font>
      <b/>
      <i/>
      <sz val="11"/>
      <color rgb="FF000000"/>
      <name val="Calibri"/>
      <scheme val="minor"/>
    </font>
    <font>
      <b/>
      <sz val="11"/>
      <color rgb="FF000000"/>
      <name val="Calibri"/>
      <family val="2"/>
      <scheme val="minor"/>
    </font>
    <font>
      <sz val="11"/>
      <color rgb="FF9C0006"/>
      <name val="Calibri"/>
      <family val="2"/>
      <scheme val="minor"/>
    </font>
    <font>
      <b/>
      <sz val="11"/>
      <color rgb="FF000000"/>
      <name val="Calibri"/>
      <charset val="1"/>
      <scheme val="minor"/>
    </font>
    <font>
      <b/>
      <i/>
      <sz val="12"/>
      <color rgb="FF000000"/>
      <name val="Calibri"/>
      <family val="2"/>
      <scheme val="minor"/>
    </font>
    <font>
      <b/>
      <i/>
      <sz val="11"/>
      <color theme="1"/>
      <name val="Calibri"/>
      <family val="2"/>
      <scheme val="minor"/>
    </font>
    <font>
      <i/>
      <sz val="12"/>
      <color rgb="FF000000"/>
      <name val="Calibri"/>
      <scheme val="minor"/>
    </font>
    <font>
      <sz val="12"/>
      <color rgb="FF000000"/>
      <name val="Calibri"/>
      <charset val="1"/>
      <scheme val="minor"/>
    </font>
  </fonts>
  <fills count="6">
    <fill>
      <patternFill patternType="none"/>
    </fill>
    <fill>
      <patternFill patternType="gray125"/>
    </fill>
    <fill>
      <patternFill patternType="solid">
        <fgColor rgb="FFC6EFCE"/>
        <bgColor rgb="FF000000"/>
      </patternFill>
    </fill>
    <fill>
      <patternFill patternType="solid">
        <fgColor rgb="FFFFFFFF"/>
        <bgColor rgb="FF000000"/>
      </patternFill>
    </fill>
    <fill>
      <patternFill patternType="solid">
        <fgColor theme="0"/>
        <bgColor indexed="64"/>
      </patternFill>
    </fill>
    <fill>
      <patternFill patternType="solid">
        <fgColor rgb="FFFFC7CE"/>
        <bgColor rgb="FF000000"/>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72">
    <xf numFmtId="0" fontId="0" fillId="0" borderId="0" xfId="0"/>
    <xf numFmtId="0" fontId="1" fillId="0" borderId="0" xfId="0" applyFont="1"/>
    <xf numFmtId="0" fontId="0" fillId="0" borderId="0" xfId="0" applyProtection="1">
      <protection hidden="1"/>
    </xf>
    <xf numFmtId="0" fontId="0" fillId="0" borderId="0" xfId="0" applyAlignment="1" applyProtection="1">
      <alignment horizontal="center"/>
      <protection hidden="1"/>
    </xf>
    <xf numFmtId="0" fontId="1" fillId="0" borderId="0" xfId="0" applyFont="1" applyProtection="1">
      <protection locked="0"/>
    </xf>
    <xf numFmtId="0" fontId="0" fillId="0" borderId="0" xfId="0" applyProtection="1">
      <protection locked="0"/>
    </xf>
    <xf numFmtId="0" fontId="2" fillId="0" borderId="0" xfId="0" applyFont="1" applyProtection="1">
      <protection locked="0"/>
    </xf>
    <xf numFmtId="14" fontId="0" fillId="0" borderId="0" xfId="0" applyNumberFormat="1" applyProtection="1">
      <protection locked="0"/>
    </xf>
    <xf numFmtId="0" fontId="1" fillId="0" borderId="0" xfId="0" applyFont="1" applyProtection="1">
      <protection hidden="1"/>
    </xf>
    <xf numFmtId="0" fontId="3" fillId="0" borderId="0" xfId="0" applyFont="1"/>
    <xf numFmtId="0" fontId="4" fillId="0" borderId="0" xfId="0" applyFont="1"/>
    <xf numFmtId="0" fontId="5" fillId="0" borderId="0" xfId="0" applyFont="1"/>
    <xf numFmtId="14" fontId="5" fillId="0" borderId="0" xfId="0" applyNumberFormat="1" applyFont="1"/>
    <xf numFmtId="0" fontId="7" fillId="0" borderId="0" xfId="0" applyFont="1"/>
    <xf numFmtId="14" fontId="7" fillId="0" borderId="0" xfId="0" applyNumberFormat="1" applyFont="1"/>
    <xf numFmtId="0" fontId="6" fillId="2" borderId="0" xfId="0" applyFont="1" applyFill="1"/>
    <xf numFmtId="0" fontId="8" fillId="0" borderId="0" xfId="0" applyFont="1"/>
    <xf numFmtId="0" fontId="9" fillId="0" borderId="0" xfId="0" applyFont="1"/>
    <xf numFmtId="14" fontId="9" fillId="0" borderId="0" xfId="0" applyNumberFormat="1" applyFont="1"/>
    <xf numFmtId="0" fontId="10" fillId="0" borderId="0" xfId="0" applyFont="1"/>
    <xf numFmtId="0" fontId="11" fillId="0" borderId="0" xfId="0" applyFont="1"/>
    <xf numFmtId="0" fontId="12" fillId="3" borderId="1" xfId="0" applyFont="1" applyFill="1" applyBorder="1" applyAlignment="1">
      <alignment vertical="center" wrapText="1"/>
    </xf>
    <xf numFmtId="0" fontId="5"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pplyProtection="1">
      <alignment horizontal="center" vertical="center"/>
      <protection hidden="1"/>
    </xf>
    <xf numFmtId="0" fontId="5" fillId="0" borderId="1" xfId="0" applyFont="1" applyBorder="1" applyAlignment="1">
      <alignment vertical="center" wrapText="1"/>
    </xf>
    <xf numFmtId="14" fontId="5" fillId="0" borderId="1" xfId="0" applyNumberFormat="1" applyFont="1" applyBorder="1" applyAlignment="1">
      <alignment horizontal="center" vertical="center" wrapText="1"/>
    </xf>
    <xf numFmtId="0" fontId="5" fillId="0" borderId="0" xfId="0" applyFont="1" applyAlignment="1">
      <alignment horizontal="center"/>
    </xf>
    <xf numFmtId="0" fontId="13" fillId="4" borderId="2" xfId="0" applyFont="1" applyFill="1" applyBorder="1" applyAlignment="1" applyProtection="1">
      <alignment vertical="center" wrapText="1"/>
      <protection locked="0"/>
    </xf>
    <xf numFmtId="0" fontId="0" fillId="4" borderId="2" xfId="0" applyFill="1" applyBorder="1" applyAlignment="1" applyProtection="1">
      <alignment horizontal="center" vertical="center" wrapText="1"/>
      <protection locked="0"/>
    </xf>
    <xf numFmtId="0" fontId="14" fillId="4" borderId="2" xfId="0" applyFont="1" applyFill="1" applyBorder="1" applyAlignment="1" applyProtection="1">
      <alignment horizontal="center" vertical="center" wrapText="1"/>
      <protection hidden="1"/>
    </xf>
    <xf numFmtId="0" fontId="0" fillId="4" borderId="2" xfId="0" applyFill="1" applyBorder="1" applyAlignment="1" applyProtection="1">
      <alignment horizontal="center" vertical="center" wrapText="1"/>
      <protection hidden="1"/>
    </xf>
    <xf numFmtId="0" fontId="0" fillId="4" borderId="2" xfId="0" applyFill="1" applyBorder="1" applyAlignment="1" applyProtection="1">
      <alignment vertical="center" wrapText="1"/>
      <protection locked="0"/>
    </xf>
    <xf numFmtId="14" fontId="0" fillId="0" borderId="2" xfId="0" applyNumberFormat="1"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15" fillId="0" borderId="0" xfId="0" applyFont="1"/>
    <xf numFmtId="0" fontId="6" fillId="0" borderId="0" xfId="0" applyFont="1"/>
    <xf numFmtId="0" fontId="16" fillId="0" borderId="0" xfId="0" applyFont="1" applyProtection="1">
      <protection locked="0"/>
    </xf>
    <xf numFmtId="0" fontId="17" fillId="0" borderId="0" xfId="0" applyFont="1" applyProtection="1">
      <protection locked="0"/>
    </xf>
    <xf numFmtId="0" fontId="14" fillId="0" borderId="0" xfId="0" applyFont="1" applyProtection="1">
      <protection locked="0"/>
    </xf>
    <xf numFmtId="0" fontId="14" fillId="0" borderId="0" xfId="0" applyFont="1" applyProtection="1">
      <protection hidden="1"/>
    </xf>
    <xf numFmtId="14" fontId="14" fillId="0" borderId="0" xfId="0" applyNumberFormat="1" applyFont="1" applyProtection="1">
      <protection locked="0"/>
    </xf>
    <xf numFmtId="0" fontId="14" fillId="0" borderId="0" xfId="0" applyFont="1" applyAlignment="1" applyProtection="1">
      <alignment horizontal="center"/>
      <protection hidden="1"/>
    </xf>
    <xf numFmtId="0" fontId="0" fillId="0" borderId="0" xfId="0" applyAlignment="1" applyProtection="1">
      <alignment wrapText="1"/>
      <protection locked="0"/>
    </xf>
    <xf numFmtId="0" fontId="18" fillId="2" borderId="0" xfId="0" applyFont="1" applyFill="1"/>
    <xf numFmtId="0" fontId="16" fillId="0" borderId="0" xfId="0" applyFont="1"/>
    <xf numFmtId="0" fontId="5" fillId="0" borderId="0" xfId="0" applyFont="1" applyAlignment="1">
      <alignment horizontal="center" vertical="center"/>
    </xf>
    <xf numFmtId="0" fontId="9" fillId="0" borderId="0" xfId="0" applyFont="1" applyAlignment="1">
      <alignment wrapText="1"/>
    </xf>
    <xf numFmtId="0" fontId="19" fillId="0" borderId="0" xfId="0" applyFont="1" applyAlignment="1">
      <alignment wrapText="1"/>
    </xf>
    <xf numFmtId="0" fontId="5" fillId="0" borderId="0" xfId="0" applyFont="1" applyAlignment="1">
      <alignment wrapText="1"/>
    </xf>
    <xf numFmtId="14" fontId="5" fillId="0" borderId="0" xfId="0" applyNumberFormat="1" applyFont="1" applyAlignment="1">
      <alignment wrapText="1"/>
    </xf>
    <xf numFmtId="0" fontId="3" fillId="0" borderId="0" xfId="0" applyFont="1" applyAlignment="1">
      <alignment wrapText="1"/>
    </xf>
    <xf numFmtId="0" fontId="6" fillId="2" borderId="0" xfId="0" applyFont="1" applyFill="1" applyAlignment="1">
      <alignment wrapText="1"/>
    </xf>
    <xf numFmtId="0" fontId="20" fillId="0" borderId="0" xfId="0" applyFont="1" applyAlignment="1">
      <alignment wrapText="1"/>
    </xf>
    <xf numFmtId="0" fontId="21" fillId="3" borderId="1" xfId="0" applyFont="1" applyFill="1" applyBorder="1" applyAlignment="1">
      <alignment vertical="center" wrapText="1"/>
    </xf>
    <xf numFmtId="0" fontId="9" fillId="3" borderId="1" xfId="0" applyFont="1" applyFill="1" applyBorder="1" applyAlignment="1">
      <alignment horizontal="center" vertical="center" wrapText="1"/>
    </xf>
    <xf numFmtId="0" fontId="19" fillId="0" borderId="0" xfId="0" applyFont="1"/>
    <xf numFmtId="0" fontId="22" fillId="5" borderId="0" xfId="0" applyFont="1" applyFill="1" applyAlignment="1">
      <alignment wrapText="1"/>
    </xf>
    <xf numFmtId="0" fontId="23" fillId="0" borderId="0" xfId="0" applyFont="1"/>
    <xf numFmtId="0" fontId="22" fillId="5" borderId="0" xfId="0" applyFont="1" applyFill="1"/>
    <xf numFmtId="0" fontId="24" fillId="0" borderId="0" xfId="0" applyFont="1" applyAlignment="1">
      <alignment wrapText="1"/>
    </xf>
    <xf numFmtId="0" fontId="24" fillId="0" borderId="0" xfId="0" applyFont="1"/>
    <xf numFmtId="0" fontId="25" fillId="0" borderId="0" xfId="0" applyFont="1" applyProtection="1">
      <protection locked="0"/>
    </xf>
    <xf numFmtId="0" fontId="21" fillId="0" borderId="0" xfId="0" applyFont="1" applyAlignment="1">
      <alignment wrapText="1"/>
    </xf>
    <xf numFmtId="0" fontId="12" fillId="0" borderId="0" xfId="0" applyFont="1"/>
    <xf numFmtId="0" fontId="21" fillId="0" borderId="0" xfId="0" applyFont="1"/>
    <xf numFmtId="0" fontId="26" fillId="0" borderId="0" xfId="0" applyFont="1" applyAlignment="1">
      <alignment wrapText="1"/>
    </xf>
    <xf numFmtId="0" fontId="5" fillId="0" borderId="0" xfId="0" applyFont="1" applyAlignment="1">
      <alignment horizontal="center" wrapText="1"/>
    </xf>
    <xf numFmtId="0" fontId="27" fillId="0" borderId="0" xfId="0" applyFont="1"/>
    <xf numFmtId="14" fontId="27" fillId="0" borderId="0" xfId="0" applyNumberFormat="1" applyFont="1"/>
    <xf numFmtId="16" fontId="0" fillId="0" borderId="0" xfId="0" applyNumberFormat="1" applyProtection="1">
      <protection locked="0"/>
    </xf>
  </cellXfs>
  <cellStyles count="1">
    <cellStyle name="Normal" xfId="0" builtinId="0"/>
  </cellStyles>
  <dxfs count="128">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auto="1"/>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auto="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67410-2C2F-43EA-9AC1-461107637179}">
  <dimension ref="A1:G50"/>
  <sheetViews>
    <sheetView topLeftCell="A31" workbookViewId="0">
      <selection activeCell="G47" sqref="G47"/>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8</v>
      </c>
      <c r="B4" s="7">
        <v>46044</v>
      </c>
      <c r="C4" s="7">
        <v>46044</v>
      </c>
      <c r="D4" s="2">
        <f ca="1">_xlfn.DAYS(C4,TODAY())</f>
        <v>-90</v>
      </c>
      <c r="E4" s="7">
        <v>46044</v>
      </c>
      <c r="F4" s="3">
        <f>IF(E4&lt;&gt;"",1,-1)</f>
        <v>1</v>
      </c>
    </row>
    <row r="6" spans="1:7" x14ac:dyDescent="0.25">
      <c r="A6" s="6" t="s">
        <v>9</v>
      </c>
    </row>
    <row r="7" spans="1:7" x14ac:dyDescent="0.25">
      <c r="A7" s="5" t="s">
        <v>8</v>
      </c>
      <c r="B7" s="7">
        <v>46051</v>
      </c>
      <c r="C7" s="7">
        <v>46051</v>
      </c>
      <c r="D7" s="2">
        <f ca="1">_xlfn.DAYS(C7,TODAY())</f>
        <v>-83</v>
      </c>
      <c r="E7" s="7">
        <v>46051</v>
      </c>
      <c r="F7" s="3">
        <f>IF(E7&lt;&gt;"",1,-1)</f>
        <v>1</v>
      </c>
    </row>
    <row r="9" spans="1:7" ht="15.75" x14ac:dyDescent="0.25">
      <c r="A9" s="10" t="s">
        <v>10</v>
      </c>
      <c r="B9" s="13"/>
      <c r="C9" s="13"/>
      <c r="D9" s="13"/>
      <c r="E9" s="13"/>
      <c r="F9" s="13"/>
    </row>
    <row r="10" spans="1:7" x14ac:dyDescent="0.25">
      <c r="A10" s="10" t="s">
        <v>11</v>
      </c>
      <c r="B10" s="12">
        <v>46056</v>
      </c>
      <c r="C10" s="12">
        <v>46056</v>
      </c>
      <c r="D10" s="9">
        <v>-5</v>
      </c>
      <c r="E10" s="12">
        <v>46056</v>
      </c>
      <c r="F10" s="3">
        <f>IF(E10&lt;&gt;"",1,-1)</f>
        <v>1</v>
      </c>
    </row>
    <row r="11" spans="1:7" ht="15.75" x14ac:dyDescent="0.25">
      <c r="A11" s="13" t="s">
        <v>12</v>
      </c>
      <c r="B11" s="12">
        <v>46056</v>
      </c>
      <c r="C11" s="14">
        <v>46063</v>
      </c>
      <c r="D11" s="15">
        <v>2</v>
      </c>
      <c r="E11" s="13"/>
      <c r="F11" s="3">
        <f>IF(E11&lt;&gt;"",1,-1)</f>
        <v>-1</v>
      </c>
    </row>
    <row r="13" spans="1:7" x14ac:dyDescent="0.25">
      <c r="A13" s="6" t="s">
        <v>13</v>
      </c>
    </row>
    <row r="14" spans="1:7" x14ac:dyDescent="0.25">
      <c r="A14" s="5" t="s">
        <v>11</v>
      </c>
      <c r="B14" s="7">
        <v>46062</v>
      </c>
      <c r="C14" s="7">
        <v>46062</v>
      </c>
      <c r="D14" s="2">
        <f ca="1">_xlfn.DAYS(C14,TODAY())</f>
        <v>-72</v>
      </c>
      <c r="E14" s="7">
        <v>46062</v>
      </c>
      <c r="F14" s="3">
        <f>IF(E14&lt;&gt;"",1,-1)</f>
        <v>1</v>
      </c>
    </row>
    <row r="16" spans="1:7" ht="15.75" x14ac:dyDescent="0.25">
      <c r="A16" s="40" t="s">
        <v>14</v>
      </c>
      <c r="B16" s="40"/>
      <c r="C16" s="40"/>
    </row>
    <row r="17" spans="1:6" ht="15.75" x14ac:dyDescent="0.25">
      <c r="A17" s="40" t="s">
        <v>15</v>
      </c>
      <c r="B17" s="42">
        <v>46072</v>
      </c>
      <c r="C17" s="42">
        <v>46072</v>
      </c>
      <c r="D17" s="2">
        <f ca="1">_xlfn.DAYS(C17,TODAY())</f>
        <v>-62</v>
      </c>
      <c r="E17" s="42">
        <v>46072</v>
      </c>
      <c r="F17" s="3">
        <f>IF(E17&lt;&gt;"",1,-1)</f>
        <v>1</v>
      </c>
    </row>
    <row r="19" spans="1:6" x14ac:dyDescent="0.25">
      <c r="A19" s="10" t="s">
        <v>62</v>
      </c>
      <c r="B19" s="11"/>
      <c r="C19" s="11"/>
      <c r="D19" s="11"/>
      <c r="E19" s="11"/>
      <c r="F19" s="11"/>
    </row>
    <row r="20" spans="1:6" x14ac:dyDescent="0.25">
      <c r="A20" s="11" t="s">
        <v>8</v>
      </c>
      <c r="B20" s="12">
        <v>46079</v>
      </c>
      <c r="C20" s="12">
        <v>46079</v>
      </c>
      <c r="D20" s="15">
        <v>5</v>
      </c>
      <c r="E20" s="12">
        <v>46079</v>
      </c>
      <c r="F20" s="3">
        <f>IF(E20&lt;&gt;"",1,-1)</f>
        <v>1</v>
      </c>
    </row>
    <row r="21" spans="1:6" x14ac:dyDescent="0.25">
      <c r="A21" s="11" t="s">
        <v>63</v>
      </c>
      <c r="B21" s="12">
        <v>46079</v>
      </c>
      <c r="C21" s="12">
        <v>46086</v>
      </c>
      <c r="D21" s="15">
        <v>5</v>
      </c>
      <c r="E21" s="11"/>
      <c r="F21" s="3">
        <f t="shared" ref="F21:F22" si="0">IF(E21&lt;&gt;"",1,-1)</f>
        <v>-1</v>
      </c>
    </row>
    <row r="22" spans="1:6" x14ac:dyDescent="0.25">
      <c r="A22" s="11" t="s">
        <v>64</v>
      </c>
      <c r="B22" s="12">
        <v>46079</v>
      </c>
      <c r="C22" s="12">
        <v>46086</v>
      </c>
      <c r="D22" s="15">
        <v>5</v>
      </c>
      <c r="E22" s="11"/>
      <c r="F22" s="3">
        <f t="shared" si="0"/>
        <v>-1</v>
      </c>
    </row>
    <row r="24" spans="1:6" x14ac:dyDescent="0.25">
      <c r="A24" s="10" t="s">
        <v>131</v>
      </c>
      <c r="B24" s="11"/>
      <c r="C24" s="11"/>
      <c r="D24" s="11"/>
      <c r="E24" s="11"/>
      <c r="F24" s="11"/>
    </row>
    <row r="25" spans="1:6" x14ac:dyDescent="0.25">
      <c r="A25" s="11" t="s">
        <v>8</v>
      </c>
      <c r="B25" s="12">
        <v>46091</v>
      </c>
      <c r="C25" s="12">
        <v>46091</v>
      </c>
      <c r="D25" s="11">
        <v>-8</v>
      </c>
      <c r="E25" s="12">
        <v>46091</v>
      </c>
      <c r="F25" s="3">
        <f t="shared" ref="F25:F28" si="1">IF(E25&lt;&gt;"",1,-1)</f>
        <v>1</v>
      </c>
    </row>
    <row r="26" spans="1:6" ht="45" x14ac:dyDescent="0.25">
      <c r="A26" s="50" t="s">
        <v>141</v>
      </c>
      <c r="B26" s="12">
        <v>46095</v>
      </c>
      <c r="C26" s="12">
        <v>46095</v>
      </c>
      <c r="D26" s="11">
        <v>-4</v>
      </c>
      <c r="E26" s="12">
        <v>46095</v>
      </c>
      <c r="F26" s="3">
        <f t="shared" si="1"/>
        <v>1</v>
      </c>
    </row>
    <row r="27" spans="1:6" x14ac:dyDescent="0.25">
      <c r="A27" s="11" t="s">
        <v>63</v>
      </c>
      <c r="B27" s="12">
        <v>46091</v>
      </c>
      <c r="C27" s="12">
        <v>46100</v>
      </c>
      <c r="D27" s="15">
        <v>1</v>
      </c>
      <c r="E27" s="11"/>
      <c r="F27" s="3">
        <f t="shared" si="1"/>
        <v>-1</v>
      </c>
    </row>
    <row r="28" spans="1:6" x14ac:dyDescent="0.25">
      <c r="A28" s="11" t="s">
        <v>64</v>
      </c>
      <c r="B28" s="12">
        <v>46091</v>
      </c>
      <c r="C28" s="12">
        <v>46100</v>
      </c>
      <c r="D28" s="15">
        <v>1</v>
      </c>
      <c r="E28" s="11"/>
      <c r="F28" s="3">
        <f t="shared" si="1"/>
        <v>-1</v>
      </c>
    </row>
    <row r="30" spans="1:6" x14ac:dyDescent="0.25">
      <c r="A30" s="10" t="s">
        <v>145</v>
      </c>
      <c r="B30" s="11"/>
      <c r="C30" s="11"/>
      <c r="D30" s="11"/>
      <c r="E30" s="11"/>
      <c r="F30" s="11"/>
    </row>
    <row r="31" spans="1:6" x14ac:dyDescent="0.25">
      <c r="A31" s="11" t="s">
        <v>8</v>
      </c>
      <c r="B31" s="12">
        <v>46100</v>
      </c>
      <c r="C31" s="12">
        <v>46100</v>
      </c>
      <c r="D31" s="11">
        <v>-3</v>
      </c>
      <c r="E31" s="11"/>
      <c r="F31" s="3">
        <f t="shared" ref="F31:F33" si="2">IF(E31&lt;&gt;"",1,-1)</f>
        <v>-1</v>
      </c>
    </row>
    <row r="32" spans="1:6" x14ac:dyDescent="0.25">
      <c r="A32" s="11" t="s">
        <v>63</v>
      </c>
      <c r="B32" s="12">
        <v>46091</v>
      </c>
      <c r="C32" s="12">
        <v>46100</v>
      </c>
      <c r="D32" s="60">
        <v>-3</v>
      </c>
      <c r="E32" s="11"/>
      <c r="F32" s="3">
        <f t="shared" si="2"/>
        <v>-1</v>
      </c>
    </row>
    <row r="33" spans="1:6" x14ac:dyDescent="0.25">
      <c r="A33" s="11" t="s">
        <v>64</v>
      </c>
      <c r="B33" s="12">
        <v>46091</v>
      </c>
      <c r="C33" s="12">
        <v>46100</v>
      </c>
      <c r="D33" s="60">
        <v>-3</v>
      </c>
      <c r="E33" s="11"/>
      <c r="F33" s="3">
        <f t="shared" si="2"/>
        <v>-1</v>
      </c>
    </row>
    <row r="35" spans="1:6" x14ac:dyDescent="0.25">
      <c r="A35" s="10" t="s">
        <v>146</v>
      </c>
      <c r="B35" s="11"/>
      <c r="C35" s="11"/>
      <c r="D35" s="11"/>
      <c r="E35" s="11"/>
      <c r="F35" s="11"/>
    </row>
    <row r="36" spans="1:6" x14ac:dyDescent="0.25">
      <c r="A36" s="11" t="s">
        <v>63</v>
      </c>
      <c r="B36" s="12">
        <v>46091</v>
      </c>
      <c r="C36" s="12">
        <v>46107</v>
      </c>
      <c r="D36" s="15">
        <v>4</v>
      </c>
      <c r="E36" s="11"/>
      <c r="F36" s="3">
        <f t="shared" ref="F36:F38" si="3">IF(E36&lt;&gt;"",1,-1)</f>
        <v>-1</v>
      </c>
    </row>
    <row r="37" spans="1:6" x14ac:dyDescent="0.25">
      <c r="A37" s="11" t="s">
        <v>64</v>
      </c>
      <c r="B37" s="12">
        <v>46091</v>
      </c>
      <c r="C37" s="12">
        <v>46107</v>
      </c>
      <c r="D37" s="15">
        <v>4</v>
      </c>
      <c r="E37" s="11"/>
      <c r="F37" s="3">
        <f t="shared" si="3"/>
        <v>-1</v>
      </c>
    </row>
    <row r="38" spans="1:6" x14ac:dyDescent="0.25">
      <c r="A38" s="11" t="s">
        <v>147</v>
      </c>
      <c r="B38" s="12">
        <v>46103</v>
      </c>
      <c r="C38" s="12">
        <v>46107</v>
      </c>
      <c r="D38" s="15">
        <v>4</v>
      </c>
      <c r="E38" s="11"/>
      <c r="F38" s="3">
        <f t="shared" si="3"/>
        <v>-1</v>
      </c>
    </row>
    <row r="40" spans="1:6" x14ac:dyDescent="0.25">
      <c r="A40" s="10" t="s">
        <v>204</v>
      </c>
      <c r="B40" s="11"/>
      <c r="C40" s="11"/>
      <c r="D40" s="11"/>
      <c r="E40" s="11"/>
      <c r="F40" s="11"/>
    </row>
    <row r="41" spans="1:6" x14ac:dyDescent="0.25">
      <c r="A41" s="11" t="s">
        <v>205</v>
      </c>
      <c r="B41" s="12">
        <v>46113</v>
      </c>
      <c r="C41" s="12">
        <v>46121</v>
      </c>
      <c r="D41" s="9">
        <v>5</v>
      </c>
      <c r="E41" s="12">
        <v>46114</v>
      </c>
      <c r="F41" s="3">
        <f t="shared" ref="F41" si="4">IF(E41&lt;&gt;"",1,-1)</f>
        <v>1</v>
      </c>
    </row>
    <row r="43" spans="1:6" x14ac:dyDescent="0.25">
      <c r="A43" s="10" t="s">
        <v>231</v>
      </c>
      <c r="B43" s="11"/>
      <c r="C43" s="11"/>
      <c r="D43" s="11"/>
      <c r="E43" s="11"/>
      <c r="F43" s="11"/>
    </row>
    <row r="44" spans="1:6" x14ac:dyDescent="0.25">
      <c r="A44" s="11" t="s">
        <v>257</v>
      </c>
      <c r="B44" s="12">
        <v>46119</v>
      </c>
      <c r="C44" s="12">
        <v>46123</v>
      </c>
      <c r="D44" s="9">
        <v>-11</v>
      </c>
      <c r="E44" s="12">
        <v>46124</v>
      </c>
      <c r="F44" s="3">
        <f t="shared" ref="F44:F45" si="5">IF(E44&lt;&gt;"",1,-1)</f>
        <v>1</v>
      </c>
    </row>
    <row r="45" spans="1:6" x14ac:dyDescent="0.25">
      <c r="A45" s="11" t="s">
        <v>258</v>
      </c>
      <c r="B45" s="12">
        <v>46119</v>
      </c>
      <c r="C45" s="12">
        <v>46123</v>
      </c>
      <c r="D45" s="9">
        <v>-11</v>
      </c>
      <c r="E45" s="12">
        <v>46124</v>
      </c>
      <c r="F45" s="3">
        <f t="shared" si="5"/>
        <v>1</v>
      </c>
    </row>
    <row r="46" spans="1:6" x14ac:dyDescent="0.25">
      <c r="A46" s="11"/>
      <c r="B46" s="11"/>
      <c r="C46" s="11"/>
      <c r="D46" s="11"/>
      <c r="E46" s="11"/>
      <c r="F46" s="11"/>
    </row>
    <row r="47" spans="1:6" x14ac:dyDescent="0.25">
      <c r="A47" s="11" t="s">
        <v>240</v>
      </c>
      <c r="B47" s="11"/>
      <c r="C47" s="11"/>
      <c r="D47" s="11"/>
      <c r="E47" s="11"/>
      <c r="F47" s="11"/>
    </row>
    <row r="48" spans="1:6" x14ac:dyDescent="0.25">
      <c r="A48" s="11" t="s">
        <v>259</v>
      </c>
      <c r="B48" s="12">
        <v>46124</v>
      </c>
      <c r="C48" s="12">
        <v>46127</v>
      </c>
      <c r="D48" s="9">
        <v>-7</v>
      </c>
      <c r="E48" s="12">
        <v>46127</v>
      </c>
      <c r="F48" s="3">
        <f t="shared" ref="F48:F50" si="6">IF(E48&lt;&gt;"",1,-1)</f>
        <v>1</v>
      </c>
    </row>
    <row r="49" spans="1:6" x14ac:dyDescent="0.25">
      <c r="A49" s="11" t="s">
        <v>260</v>
      </c>
      <c r="B49" s="12">
        <v>46127</v>
      </c>
      <c r="C49" s="12">
        <v>46133</v>
      </c>
      <c r="D49" s="9">
        <v>-1</v>
      </c>
      <c r="E49" s="12">
        <v>46134</v>
      </c>
      <c r="F49" s="3">
        <f t="shared" si="6"/>
        <v>1</v>
      </c>
    </row>
    <row r="50" spans="1:6" x14ac:dyDescent="0.25">
      <c r="A50" s="11" t="s">
        <v>261</v>
      </c>
      <c r="B50" s="12">
        <v>46127</v>
      </c>
      <c r="C50" s="12">
        <v>46133</v>
      </c>
      <c r="D50" s="9">
        <v>-1</v>
      </c>
      <c r="E50" s="12">
        <v>46132</v>
      </c>
      <c r="F50" s="3">
        <f t="shared" si="6"/>
        <v>1</v>
      </c>
    </row>
  </sheetData>
  <sheetProtection insertColumns="0" insertRows="0" deleteColumns="0" deleteRows="0" sort="0"/>
  <conditionalFormatting sqref="D4">
    <cfRule type="expression" dxfId="127" priority="32" stopIfTrue="1">
      <formula>E4&lt;&gt;""</formula>
    </cfRule>
    <cfRule type="cellIs" dxfId="126" priority="33" operator="lessThan">
      <formula>0</formula>
    </cfRule>
    <cfRule type="cellIs" dxfId="125" priority="34" operator="equal">
      <formula>0</formula>
    </cfRule>
    <cfRule type="cellIs" dxfId="124" priority="35" operator="greaterThan">
      <formula>0</formula>
    </cfRule>
  </conditionalFormatting>
  <conditionalFormatting sqref="D7">
    <cfRule type="expression" dxfId="123" priority="28" stopIfTrue="1">
      <formula>E7&lt;&gt;""</formula>
    </cfRule>
    <cfRule type="cellIs" dxfId="122" priority="29" operator="lessThan">
      <formula>0</formula>
    </cfRule>
    <cfRule type="cellIs" dxfId="121" priority="30" operator="equal">
      <formula>0</formula>
    </cfRule>
    <cfRule type="cellIs" dxfId="120" priority="31" operator="greaterThan">
      <formula>0</formula>
    </cfRule>
  </conditionalFormatting>
  <conditionalFormatting sqref="D14">
    <cfRule type="expression" dxfId="119" priority="21" stopIfTrue="1">
      <formula>E14&lt;&gt;""</formula>
    </cfRule>
    <cfRule type="cellIs" dxfId="118" priority="22" operator="lessThan">
      <formula>0</formula>
    </cfRule>
    <cfRule type="cellIs" dxfId="117" priority="23" operator="equal">
      <formula>0</formula>
    </cfRule>
    <cfRule type="cellIs" dxfId="116" priority="24" operator="greaterThan">
      <formula>0</formula>
    </cfRule>
  </conditionalFormatting>
  <conditionalFormatting sqref="D17">
    <cfRule type="expression" dxfId="115" priority="16" stopIfTrue="1">
      <formula>E17&lt;&gt;""</formula>
    </cfRule>
    <cfRule type="cellIs" dxfId="114" priority="17" operator="lessThan">
      <formula>0</formula>
    </cfRule>
    <cfRule type="cellIs" dxfId="113" priority="18" operator="equal">
      <formula>0</formula>
    </cfRule>
    <cfRule type="cellIs" dxfId="112" priority="19"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36" id="{66677BC3-76A2-4E35-B064-23DA696D6A1E}">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27" id="{0A42F741-86E8-4606-B80E-552ACB996D14}">
            <x14:iconSet iconSet="3Symbols" showValue="0" custom="1">
              <x14:cfvo type="percent">
                <xm:f>0</xm:f>
              </x14:cfvo>
              <x14:cfvo type="num">
                <xm:f>0</xm:f>
              </x14:cfvo>
              <x14:cfvo type="num">
                <xm:f>0</xm:f>
              </x14:cfvo>
              <x14:cfIcon iconSet="3Symbols" iconId="0"/>
              <x14:cfIcon iconSet="NoIcons" iconId="0"/>
              <x14:cfIcon iconSet="3Symbols" iconId="2"/>
            </x14:iconSet>
          </x14:cfRule>
          <xm:sqref>F7</xm:sqref>
        </x14:conditionalFormatting>
        <x14:conditionalFormatting xmlns:xm="http://schemas.microsoft.com/office/excel/2006/main">
          <x14:cfRule type="iconSet" priority="26" id="{EFE62F59-D6A1-40B7-915F-C9694E668197}">
            <x14:iconSet iconSet="3Symbols" showValue="0" custom="1">
              <x14:cfvo type="percent">
                <xm:f>0</xm:f>
              </x14:cfvo>
              <x14:cfvo type="num">
                <xm:f>0</xm:f>
              </x14:cfvo>
              <x14:cfvo type="num">
                <xm:f>0</xm:f>
              </x14:cfvo>
              <x14:cfIcon iconSet="3Symbols" iconId="0"/>
              <x14:cfIcon iconSet="NoIcons" iconId="0"/>
              <x14:cfIcon iconSet="3Symbols" iconId="2"/>
            </x14:iconSet>
          </x14:cfRule>
          <xm:sqref>F10</xm:sqref>
        </x14:conditionalFormatting>
        <x14:conditionalFormatting xmlns:xm="http://schemas.microsoft.com/office/excel/2006/main">
          <x14:cfRule type="iconSet" priority="25" id="{99AB2B14-E73F-43DB-80F2-187D9328E053}">
            <x14:iconSet iconSet="3Symbols" showValue="0" custom="1">
              <x14:cfvo type="percent">
                <xm:f>0</xm:f>
              </x14:cfvo>
              <x14:cfvo type="num">
                <xm:f>0</xm:f>
              </x14:cfvo>
              <x14:cfvo type="num">
                <xm:f>0</xm:f>
              </x14:cfvo>
              <x14:cfIcon iconSet="3Symbols" iconId="0"/>
              <x14:cfIcon iconSet="NoIcons" iconId="0"/>
              <x14:cfIcon iconSet="3Symbols" iconId="2"/>
            </x14:iconSet>
          </x14:cfRule>
          <xm:sqref>F11</xm:sqref>
        </x14:conditionalFormatting>
        <x14:conditionalFormatting xmlns:xm="http://schemas.microsoft.com/office/excel/2006/main">
          <x14:cfRule type="iconSet" priority="20" id="{16EF441F-CD01-4AFB-9E7E-156782992EFB}">
            <x14:iconSet iconSet="3Symbols" showValue="0" custom="1">
              <x14:cfvo type="percent">
                <xm:f>0</xm:f>
              </x14:cfvo>
              <x14:cfvo type="num">
                <xm:f>0</xm:f>
              </x14:cfvo>
              <x14:cfvo type="num">
                <xm:f>0</xm:f>
              </x14:cfvo>
              <x14:cfIcon iconSet="3Symbols" iconId="0"/>
              <x14:cfIcon iconSet="NoIcons" iconId="0"/>
              <x14:cfIcon iconSet="3Symbols" iconId="2"/>
            </x14:iconSet>
          </x14:cfRule>
          <xm:sqref>F14</xm:sqref>
        </x14:conditionalFormatting>
        <x14:conditionalFormatting xmlns:xm="http://schemas.microsoft.com/office/excel/2006/main">
          <x14:cfRule type="iconSet" priority="15" id="{197B869F-C889-45BC-A088-1E7D03F7E840}">
            <x14:iconSet iconSet="3Symbols" showValue="0" custom="1">
              <x14:cfvo type="percent">
                <xm:f>0</xm:f>
              </x14:cfvo>
              <x14:cfvo type="num">
                <xm:f>0</xm:f>
              </x14:cfvo>
              <x14:cfvo type="num">
                <xm:f>0</xm:f>
              </x14:cfvo>
              <x14:cfIcon iconSet="3Symbols" iconId="0"/>
              <x14:cfIcon iconSet="NoIcons" iconId="0"/>
              <x14:cfIcon iconSet="3Symbols" iconId="2"/>
            </x14:iconSet>
          </x14:cfRule>
          <xm:sqref>F17</xm:sqref>
        </x14:conditionalFormatting>
        <x14:conditionalFormatting xmlns:xm="http://schemas.microsoft.com/office/excel/2006/main">
          <x14:cfRule type="iconSet" priority="14" id="{A73EAA7B-A876-465F-B5BD-0D6EE62ADF6A}">
            <x14:iconSet iconSet="3Symbols" showValue="0" custom="1">
              <x14:cfvo type="percent">
                <xm:f>0</xm:f>
              </x14:cfvo>
              <x14:cfvo type="num">
                <xm:f>0</xm:f>
              </x14:cfvo>
              <x14:cfvo type="num">
                <xm:f>0</xm:f>
              </x14:cfvo>
              <x14:cfIcon iconSet="3Symbols" iconId="0"/>
              <x14:cfIcon iconSet="NoIcons" iconId="0"/>
              <x14:cfIcon iconSet="3Symbols" iconId="2"/>
            </x14:iconSet>
          </x14:cfRule>
          <xm:sqref>F20:F22</xm:sqref>
        </x14:conditionalFormatting>
        <x14:conditionalFormatting xmlns:xm="http://schemas.microsoft.com/office/excel/2006/main">
          <x14:cfRule type="iconSet" priority="10" id="{0C1ECAA6-E32B-4283-9088-D7FB5D10851A}">
            <x14:iconSet iconSet="3Symbols" showValue="0" custom="1">
              <x14:cfvo type="percent">
                <xm:f>0</xm:f>
              </x14:cfvo>
              <x14:cfvo type="num">
                <xm:f>0</xm:f>
              </x14:cfvo>
              <x14:cfvo type="num">
                <xm:f>0</xm:f>
              </x14:cfvo>
              <x14:cfIcon iconSet="3Symbols" iconId="0"/>
              <x14:cfIcon iconSet="NoIcons" iconId="0"/>
              <x14:cfIcon iconSet="3Symbols" iconId="2"/>
            </x14:iconSet>
          </x14:cfRule>
          <xm:sqref>F25:F28</xm:sqref>
        </x14:conditionalFormatting>
        <x14:conditionalFormatting xmlns:xm="http://schemas.microsoft.com/office/excel/2006/main">
          <x14:cfRule type="iconSet" priority="7" id="{F37BF164-B114-4907-B289-AC0DBEA7D37A}">
            <x14:iconSet iconSet="3Symbols" showValue="0" custom="1">
              <x14:cfvo type="percent">
                <xm:f>0</xm:f>
              </x14:cfvo>
              <x14:cfvo type="num">
                <xm:f>0</xm:f>
              </x14:cfvo>
              <x14:cfvo type="num">
                <xm:f>0</xm:f>
              </x14:cfvo>
              <x14:cfIcon iconSet="3Symbols" iconId="0"/>
              <x14:cfIcon iconSet="NoIcons" iconId="0"/>
              <x14:cfIcon iconSet="3Symbols" iconId="2"/>
            </x14:iconSet>
          </x14:cfRule>
          <xm:sqref>F31:F33</xm:sqref>
        </x14:conditionalFormatting>
        <x14:conditionalFormatting xmlns:xm="http://schemas.microsoft.com/office/excel/2006/main">
          <x14:cfRule type="iconSet" priority="6" id="{E228EE2F-36D5-4539-943A-367FA069C1DA}">
            <x14:iconSet iconSet="3Symbols" showValue="0" custom="1">
              <x14:cfvo type="percent">
                <xm:f>0</xm:f>
              </x14:cfvo>
              <x14:cfvo type="num">
                <xm:f>0</xm:f>
              </x14:cfvo>
              <x14:cfvo type="num">
                <xm:f>0</xm:f>
              </x14:cfvo>
              <x14:cfIcon iconSet="3Symbols" iconId="0"/>
              <x14:cfIcon iconSet="NoIcons" iconId="0"/>
              <x14:cfIcon iconSet="3Symbols" iconId="2"/>
            </x14:iconSet>
          </x14:cfRule>
          <xm:sqref>F36</xm:sqref>
        </x14:conditionalFormatting>
        <x14:conditionalFormatting xmlns:xm="http://schemas.microsoft.com/office/excel/2006/main">
          <x14:cfRule type="iconSet" priority="5" id="{9CB466E3-9647-42C1-86CD-1F6349A94ECD}">
            <x14:iconSet iconSet="3Symbols" showValue="0" custom="1">
              <x14:cfvo type="percent">
                <xm:f>0</xm:f>
              </x14:cfvo>
              <x14:cfvo type="num">
                <xm:f>0</xm:f>
              </x14:cfvo>
              <x14:cfvo type="num">
                <xm:f>0</xm:f>
              </x14:cfvo>
              <x14:cfIcon iconSet="3Symbols" iconId="0"/>
              <x14:cfIcon iconSet="NoIcons" iconId="0"/>
              <x14:cfIcon iconSet="3Symbols" iconId="2"/>
            </x14:iconSet>
          </x14:cfRule>
          <xm:sqref>F37</xm:sqref>
        </x14:conditionalFormatting>
        <x14:conditionalFormatting xmlns:xm="http://schemas.microsoft.com/office/excel/2006/main">
          <x14:cfRule type="iconSet" priority="4" id="{A3FB676D-9A1A-4317-8CB6-9A38DFFCC965}">
            <x14:iconSet iconSet="3Symbols" showValue="0" custom="1">
              <x14:cfvo type="percent">
                <xm:f>0</xm:f>
              </x14:cfvo>
              <x14:cfvo type="num">
                <xm:f>0</xm:f>
              </x14:cfvo>
              <x14:cfvo type="num">
                <xm:f>0</xm:f>
              </x14:cfvo>
              <x14:cfIcon iconSet="3Symbols" iconId="0"/>
              <x14:cfIcon iconSet="NoIcons" iconId="0"/>
              <x14:cfIcon iconSet="3Symbols" iconId="2"/>
            </x14:iconSet>
          </x14:cfRule>
          <xm:sqref>F38</xm:sqref>
        </x14:conditionalFormatting>
        <x14:conditionalFormatting xmlns:xm="http://schemas.microsoft.com/office/excel/2006/main">
          <x14:cfRule type="iconSet" priority="3" id="{0663A4B4-5D31-44B8-B1BB-F04A3869E647}">
            <x14:iconSet iconSet="3Symbols" showValue="0" custom="1">
              <x14:cfvo type="percent">
                <xm:f>0</xm:f>
              </x14:cfvo>
              <x14:cfvo type="num">
                <xm:f>0</xm:f>
              </x14:cfvo>
              <x14:cfvo type="num">
                <xm:f>0</xm:f>
              </x14:cfvo>
              <x14:cfIcon iconSet="3Symbols" iconId="0"/>
              <x14:cfIcon iconSet="NoIcons" iconId="0"/>
              <x14:cfIcon iconSet="3Symbols" iconId="2"/>
            </x14:iconSet>
          </x14:cfRule>
          <xm:sqref>F41</xm:sqref>
        </x14:conditionalFormatting>
        <x14:conditionalFormatting xmlns:xm="http://schemas.microsoft.com/office/excel/2006/main">
          <x14:cfRule type="iconSet" priority="2" id="{9D448776-2FD9-43C5-9121-B9C3C1223878}">
            <x14:iconSet iconSet="3Symbols" showValue="0" custom="1">
              <x14:cfvo type="percent">
                <xm:f>0</xm:f>
              </x14:cfvo>
              <x14:cfvo type="num">
                <xm:f>0</xm:f>
              </x14:cfvo>
              <x14:cfvo type="num">
                <xm:f>0</xm:f>
              </x14:cfvo>
              <x14:cfIcon iconSet="3Symbols" iconId="0"/>
              <x14:cfIcon iconSet="NoIcons" iconId="0"/>
              <x14:cfIcon iconSet="3Symbols" iconId="2"/>
            </x14:iconSet>
          </x14:cfRule>
          <xm:sqref>F44:F45</xm:sqref>
        </x14:conditionalFormatting>
        <x14:conditionalFormatting xmlns:xm="http://schemas.microsoft.com/office/excel/2006/main">
          <x14:cfRule type="iconSet" priority="1" id="{C02A4410-812D-4DEF-801C-2A9393637371}">
            <x14:iconSet iconSet="3Symbols" showValue="0" custom="1">
              <x14:cfvo type="percent">
                <xm:f>0</xm:f>
              </x14:cfvo>
              <x14:cfvo type="num">
                <xm:f>0</xm:f>
              </x14:cfvo>
              <x14:cfvo type="num">
                <xm:f>0</xm:f>
              </x14:cfvo>
              <x14:cfIcon iconSet="3Symbols" iconId="0"/>
              <x14:cfIcon iconSet="NoIcons" iconId="0"/>
              <x14:cfIcon iconSet="3Symbols" iconId="2"/>
            </x14:iconSet>
          </x14:cfRule>
          <xm:sqref>F48:F50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2AF1-D14A-46CB-8827-AFC501E384B0}">
  <dimension ref="A1:G51"/>
  <sheetViews>
    <sheetView topLeftCell="A38" workbookViewId="0">
      <selection activeCell="G44" sqref="G44"/>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16</v>
      </c>
    </row>
    <row r="4" spans="1:7" x14ac:dyDescent="0.25">
      <c r="A4" s="5" t="s">
        <v>8</v>
      </c>
      <c r="B4" s="7">
        <v>46044</v>
      </c>
      <c r="C4" s="7">
        <v>46044</v>
      </c>
      <c r="D4" s="2">
        <f ca="1">_xlfn.DAYS(C4,TODAY())</f>
        <v>-90</v>
      </c>
      <c r="E4" s="7">
        <v>46044</v>
      </c>
      <c r="F4" s="3">
        <f>IF(E4&lt;&gt;"",1,-1)</f>
        <v>1</v>
      </c>
    </row>
    <row r="6" spans="1:7" x14ac:dyDescent="0.25">
      <c r="A6" s="6" t="s">
        <v>9</v>
      </c>
    </row>
    <row r="7" spans="1:7" x14ac:dyDescent="0.25">
      <c r="A7" s="5" t="s">
        <v>8</v>
      </c>
      <c r="B7" s="7">
        <v>46051</v>
      </c>
      <c r="C7" s="7">
        <v>46051</v>
      </c>
      <c r="D7" s="2">
        <f ca="1">_xlfn.DAYS(C7,TODAY())</f>
        <v>-83</v>
      </c>
      <c r="E7" s="7">
        <v>46051</v>
      </c>
      <c r="F7" s="3">
        <f>IF(E7&lt;&gt;"",1,-1)</f>
        <v>1</v>
      </c>
    </row>
    <row r="9" spans="1:7" ht="15.75" x14ac:dyDescent="0.25">
      <c r="A9" s="16" t="s">
        <v>17</v>
      </c>
      <c r="B9" s="17"/>
      <c r="C9" s="17"/>
      <c r="D9" s="17"/>
      <c r="E9" s="17"/>
      <c r="F9" s="17"/>
    </row>
    <row r="10" spans="1:7" ht="15.75" x14ac:dyDescent="0.25">
      <c r="A10" s="17" t="s">
        <v>18</v>
      </c>
      <c r="B10" s="18">
        <v>46056</v>
      </c>
      <c r="C10" s="18">
        <v>46056</v>
      </c>
      <c r="D10" s="19">
        <v>-5</v>
      </c>
      <c r="E10" s="18">
        <v>46056</v>
      </c>
      <c r="F10" s="3">
        <f>IF(E10&lt;&gt;"",1,-1)</f>
        <v>1</v>
      </c>
    </row>
    <row r="11" spans="1:7" ht="15.75" x14ac:dyDescent="0.25">
      <c r="A11" s="17" t="s">
        <v>19</v>
      </c>
      <c r="B11" s="18">
        <v>46056</v>
      </c>
      <c r="C11" s="18">
        <v>46063</v>
      </c>
      <c r="D11" s="19">
        <v>7</v>
      </c>
      <c r="E11" s="18">
        <v>46061</v>
      </c>
      <c r="F11" s="3">
        <f>IF(E11&lt;&gt;"",1,-1)</f>
        <v>1</v>
      </c>
    </row>
    <row r="13" spans="1:7" ht="15.75" x14ac:dyDescent="0.25">
      <c r="A13" s="39" t="s">
        <v>20</v>
      </c>
      <c r="B13" s="40"/>
      <c r="C13" s="40"/>
      <c r="D13" s="41"/>
      <c r="E13" s="40"/>
      <c r="F13" s="41"/>
    </row>
    <row r="14" spans="1:7" ht="15.75" x14ac:dyDescent="0.25">
      <c r="A14" s="40" t="s">
        <v>18</v>
      </c>
      <c r="B14" s="42">
        <v>46062</v>
      </c>
      <c r="C14" s="42">
        <v>46062</v>
      </c>
      <c r="D14" s="41">
        <f ca="1">_xlfn.DAYS(C14,TODAY())</f>
        <v>-72</v>
      </c>
      <c r="E14" s="42">
        <v>46062</v>
      </c>
      <c r="F14" s="43">
        <f>IF(E14&lt;&gt;"",1,-1)</f>
        <v>1</v>
      </c>
    </row>
    <row r="16" spans="1:7" ht="15.75" x14ac:dyDescent="0.25">
      <c r="A16" s="16" t="s">
        <v>65</v>
      </c>
      <c r="B16" s="17"/>
      <c r="C16" s="17"/>
      <c r="D16" s="17"/>
      <c r="E16" s="17"/>
      <c r="F16" s="17"/>
    </row>
    <row r="17" spans="1:7" ht="15.75" x14ac:dyDescent="0.25">
      <c r="A17" s="17" t="s">
        <v>18</v>
      </c>
      <c r="B17" s="18">
        <v>46072</v>
      </c>
      <c r="C17" s="18">
        <v>46072</v>
      </c>
      <c r="D17" s="41">
        <f ca="1">_xlfn.DAYS(C17,TODAY())</f>
        <v>-62</v>
      </c>
      <c r="E17" s="17"/>
      <c r="F17" s="43">
        <f>IF(E17&lt;&gt;"",1,-1)</f>
        <v>-1</v>
      </c>
      <c r="G17" s="5" t="s">
        <v>21</v>
      </c>
    </row>
    <row r="18" spans="1:7" ht="15.75" x14ac:dyDescent="0.25">
      <c r="A18" s="17" t="s">
        <v>66</v>
      </c>
      <c r="B18" s="18">
        <v>46072</v>
      </c>
      <c r="C18" s="18">
        <v>46090</v>
      </c>
      <c r="D18" s="41">
        <f ca="1">_xlfn.DAYS(C18,TODAY())</f>
        <v>-44</v>
      </c>
      <c r="E18" s="18">
        <v>46079</v>
      </c>
      <c r="F18" s="43">
        <f>IF(E18&lt;&gt;"",1,-1)</f>
        <v>1</v>
      </c>
    </row>
    <row r="20" spans="1:7" ht="15.75" x14ac:dyDescent="0.25">
      <c r="A20" s="16" t="s">
        <v>67</v>
      </c>
      <c r="B20" s="17"/>
      <c r="C20" s="17"/>
      <c r="D20" s="17"/>
      <c r="E20" s="17"/>
      <c r="F20" s="17"/>
    </row>
    <row r="21" spans="1:7" ht="15.75" x14ac:dyDescent="0.25">
      <c r="A21" s="17" t="s">
        <v>18</v>
      </c>
      <c r="B21" s="18">
        <v>46079</v>
      </c>
      <c r="C21" s="18">
        <v>46079</v>
      </c>
      <c r="D21" s="19">
        <v>-2</v>
      </c>
      <c r="E21" s="18">
        <v>46079</v>
      </c>
      <c r="F21" s="43">
        <f>IF(E21&lt;&gt;"",1,-1)</f>
        <v>1</v>
      </c>
    </row>
    <row r="22" spans="1:7" ht="15.75" x14ac:dyDescent="0.25">
      <c r="A22" s="20" t="s">
        <v>68</v>
      </c>
      <c r="B22" s="18">
        <v>46079</v>
      </c>
      <c r="C22" s="18">
        <v>46079</v>
      </c>
      <c r="D22" s="19">
        <v>-2</v>
      </c>
      <c r="E22" s="18">
        <v>46079</v>
      </c>
      <c r="F22" s="43">
        <f>IF(E22&lt;&gt;"",1,-1)</f>
        <v>1</v>
      </c>
    </row>
    <row r="23" spans="1:7" ht="15.75" x14ac:dyDescent="0.25">
      <c r="A23" s="20" t="s">
        <v>69</v>
      </c>
      <c r="B23" s="18">
        <v>46079</v>
      </c>
      <c r="C23" s="18">
        <v>46079</v>
      </c>
      <c r="D23" s="19">
        <v>-2</v>
      </c>
      <c r="E23" s="18">
        <v>46079</v>
      </c>
      <c r="F23" s="43">
        <f>IF(E23&lt;&gt;"",1,-1)</f>
        <v>1</v>
      </c>
    </row>
    <row r="24" spans="1:7" ht="15.75" x14ac:dyDescent="0.25">
      <c r="A24" s="20" t="s">
        <v>70</v>
      </c>
      <c r="B24" s="18">
        <v>46079</v>
      </c>
      <c r="C24" s="18">
        <v>46090</v>
      </c>
      <c r="D24" s="45">
        <v>9</v>
      </c>
      <c r="E24" s="17"/>
      <c r="F24" s="43">
        <f>IF(E24&lt;&gt;"",1,-1)</f>
        <v>-1</v>
      </c>
    </row>
    <row r="26" spans="1:7" ht="15.75" x14ac:dyDescent="0.25">
      <c r="A26" s="16" t="s">
        <v>102</v>
      </c>
      <c r="B26" s="17"/>
      <c r="C26" s="17"/>
      <c r="D26" s="17"/>
      <c r="E26" s="17"/>
      <c r="F26" s="17"/>
    </row>
    <row r="27" spans="1:7" ht="15.75" x14ac:dyDescent="0.25">
      <c r="A27" s="17" t="s">
        <v>18</v>
      </c>
      <c r="B27" s="18">
        <v>46091</v>
      </c>
      <c r="C27" s="18">
        <v>46091</v>
      </c>
      <c r="D27" s="19">
        <v>-7</v>
      </c>
      <c r="E27" s="18">
        <v>46091</v>
      </c>
      <c r="F27" s="43">
        <f>IF(E27&lt;&gt;"",1,-1)</f>
        <v>1</v>
      </c>
    </row>
    <row r="28" spans="1:7" ht="15.75" x14ac:dyDescent="0.25">
      <c r="A28" s="17" t="s">
        <v>103</v>
      </c>
      <c r="B28" s="18">
        <v>46091</v>
      </c>
      <c r="C28" s="18">
        <v>46100</v>
      </c>
      <c r="D28" s="45">
        <v>2</v>
      </c>
      <c r="E28" s="17"/>
      <c r="F28" s="43">
        <f t="shared" ref="F28:F31" si="0">IF(E28&lt;&gt;"",1,-1)</f>
        <v>-1</v>
      </c>
    </row>
    <row r="29" spans="1:7" ht="15.75" x14ac:dyDescent="0.25">
      <c r="A29" s="17" t="s">
        <v>104</v>
      </c>
      <c r="B29" s="18">
        <v>46091</v>
      </c>
      <c r="C29" s="18">
        <v>46100</v>
      </c>
      <c r="D29" s="45">
        <v>2</v>
      </c>
      <c r="E29" s="17"/>
      <c r="F29" s="43">
        <f t="shared" si="0"/>
        <v>-1</v>
      </c>
    </row>
    <row r="30" spans="1:7" ht="15.75" x14ac:dyDescent="0.25">
      <c r="A30" s="17" t="s">
        <v>105</v>
      </c>
      <c r="B30" s="18">
        <v>46091</v>
      </c>
      <c r="C30" s="18">
        <v>46107</v>
      </c>
      <c r="D30" s="45">
        <v>9</v>
      </c>
      <c r="E30" s="17"/>
      <c r="F30" s="43">
        <f t="shared" si="0"/>
        <v>-1</v>
      </c>
    </row>
    <row r="31" spans="1:7" ht="15.75" x14ac:dyDescent="0.25">
      <c r="A31" s="17" t="s">
        <v>106</v>
      </c>
      <c r="B31" s="18">
        <v>46091</v>
      </c>
      <c r="C31" s="18">
        <v>46107</v>
      </c>
      <c r="D31" s="45">
        <v>9</v>
      </c>
      <c r="E31" s="17"/>
      <c r="F31" s="43">
        <f t="shared" si="0"/>
        <v>-1</v>
      </c>
    </row>
    <row r="33" spans="1:6" ht="15.75" x14ac:dyDescent="0.25">
      <c r="A33" s="16" t="s">
        <v>142</v>
      </c>
      <c r="B33" s="13"/>
      <c r="C33" s="13"/>
      <c r="D33" s="13"/>
      <c r="E33" s="13"/>
      <c r="F33" s="13"/>
    </row>
    <row r="34" spans="1:6" ht="15.75" x14ac:dyDescent="0.25">
      <c r="A34" s="17" t="s">
        <v>18</v>
      </c>
      <c r="B34" s="18">
        <v>46100</v>
      </c>
      <c r="C34" s="18">
        <v>46100</v>
      </c>
      <c r="D34" s="19">
        <v>-3</v>
      </c>
      <c r="E34" s="18">
        <v>46100</v>
      </c>
      <c r="F34" s="43">
        <f t="shared" ref="F34:F38" si="1">IF(E34&lt;&gt;"",1,-1)</f>
        <v>1</v>
      </c>
    </row>
    <row r="35" spans="1:6" ht="15.75" x14ac:dyDescent="0.25">
      <c r="A35" s="17" t="s">
        <v>103</v>
      </c>
      <c r="B35" s="18">
        <v>46091</v>
      </c>
      <c r="C35" s="18">
        <v>46100</v>
      </c>
      <c r="D35" s="19">
        <v>-3</v>
      </c>
      <c r="E35" s="18">
        <v>46100</v>
      </c>
      <c r="F35" s="43">
        <f t="shared" si="1"/>
        <v>1</v>
      </c>
    </row>
    <row r="36" spans="1:6" ht="15.75" x14ac:dyDescent="0.25">
      <c r="A36" s="17" t="s">
        <v>104</v>
      </c>
      <c r="B36" s="18">
        <v>46091</v>
      </c>
      <c r="C36" s="18">
        <v>46100</v>
      </c>
      <c r="D36" s="19">
        <v>-3</v>
      </c>
      <c r="E36" s="18">
        <v>46100</v>
      </c>
      <c r="F36" s="43">
        <f t="shared" si="1"/>
        <v>1</v>
      </c>
    </row>
    <row r="37" spans="1:6" ht="15.75" x14ac:dyDescent="0.25">
      <c r="A37" s="17" t="s">
        <v>143</v>
      </c>
      <c r="B37" s="18">
        <v>46100</v>
      </c>
      <c r="C37" s="18">
        <v>46100</v>
      </c>
      <c r="D37" s="19">
        <v>-3</v>
      </c>
      <c r="E37" s="18">
        <v>46100</v>
      </c>
      <c r="F37" s="43">
        <f t="shared" si="1"/>
        <v>1</v>
      </c>
    </row>
    <row r="38" spans="1:6" ht="15.75" x14ac:dyDescent="0.25">
      <c r="A38" s="17" t="s">
        <v>144</v>
      </c>
      <c r="B38" s="18">
        <v>46099</v>
      </c>
      <c r="C38" s="18">
        <v>46099</v>
      </c>
      <c r="D38" s="19">
        <v>-4</v>
      </c>
      <c r="E38" s="18">
        <v>46099</v>
      </c>
      <c r="F38" s="43">
        <f t="shared" si="1"/>
        <v>1</v>
      </c>
    </row>
    <row r="40" spans="1:6" ht="15.75" x14ac:dyDescent="0.25">
      <c r="A40" s="16" t="s">
        <v>170</v>
      </c>
      <c r="B40" s="13"/>
      <c r="C40" s="13"/>
      <c r="D40" s="13"/>
      <c r="E40" s="13"/>
      <c r="F40" s="13"/>
    </row>
    <row r="41" spans="1:6" ht="15.75" x14ac:dyDescent="0.25">
      <c r="A41" s="17" t="s">
        <v>18</v>
      </c>
      <c r="B41" s="18">
        <v>46107</v>
      </c>
      <c r="C41" s="18">
        <v>46107</v>
      </c>
      <c r="D41" s="19">
        <v>-9</v>
      </c>
      <c r="E41" s="18">
        <v>46107</v>
      </c>
      <c r="F41" s="43">
        <f t="shared" ref="F41:F43" si="2">IF(E41&lt;&gt;"",1,-1)</f>
        <v>1</v>
      </c>
    </row>
    <row r="42" spans="1:6" ht="15.75" x14ac:dyDescent="0.25">
      <c r="A42" s="17" t="s">
        <v>106</v>
      </c>
      <c r="B42" s="18">
        <v>46091</v>
      </c>
      <c r="C42" s="18">
        <v>46107</v>
      </c>
      <c r="D42" s="19">
        <v>-9</v>
      </c>
      <c r="E42" s="18">
        <v>46105</v>
      </c>
      <c r="F42" s="43">
        <f t="shared" si="2"/>
        <v>1</v>
      </c>
    </row>
    <row r="43" spans="1:6" ht="15.75" x14ac:dyDescent="0.25">
      <c r="A43" s="17" t="s">
        <v>171</v>
      </c>
      <c r="B43" s="18">
        <v>46114</v>
      </c>
      <c r="C43" s="18">
        <v>46114</v>
      </c>
      <c r="D43" s="19">
        <v>-20</v>
      </c>
      <c r="E43" s="18">
        <v>46110</v>
      </c>
      <c r="F43" s="43">
        <f t="shared" si="2"/>
        <v>1</v>
      </c>
    </row>
    <row r="45" spans="1:6" ht="15.75" x14ac:dyDescent="0.25">
      <c r="A45" s="16" t="s">
        <v>262</v>
      </c>
      <c r="B45" s="13"/>
      <c r="C45" s="13"/>
      <c r="D45" s="13"/>
      <c r="E45" s="13"/>
      <c r="F45" s="13"/>
    </row>
    <row r="46" spans="1:6" ht="15.75" x14ac:dyDescent="0.25">
      <c r="A46" s="17" t="s">
        <v>18</v>
      </c>
      <c r="B46" s="18">
        <v>46112</v>
      </c>
      <c r="C46" s="18">
        <v>46112</v>
      </c>
      <c r="D46" s="19">
        <v>-22</v>
      </c>
      <c r="E46" s="18">
        <v>46112</v>
      </c>
      <c r="F46" s="43">
        <f t="shared" ref="F46:F47" si="3">IF(E46&lt;&gt;"",1,-1)</f>
        <v>1</v>
      </c>
    </row>
    <row r="47" spans="1:6" ht="15.75" x14ac:dyDescent="0.25">
      <c r="A47" s="17" t="s">
        <v>263</v>
      </c>
      <c r="B47" s="18">
        <v>46112</v>
      </c>
      <c r="C47" s="18">
        <v>46121</v>
      </c>
      <c r="D47" s="19">
        <v>-13</v>
      </c>
      <c r="E47" s="18">
        <v>46119</v>
      </c>
      <c r="F47" s="43">
        <f t="shared" si="3"/>
        <v>1</v>
      </c>
    </row>
    <row r="49" spans="1:6" ht="15.75" x14ac:dyDescent="0.25">
      <c r="A49" s="16" t="s">
        <v>264</v>
      </c>
      <c r="B49" s="13"/>
      <c r="C49" s="13"/>
      <c r="D49" s="13"/>
      <c r="E49" s="13"/>
      <c r="F49" s="13"/>
    </row>
    <row r="50" spans="1:6" ht="15.75" x14ac:dyDescent="0.25">
      <c r="A50" s="17" t="s">
        <v>18</v>
      </c>
      <c r="B50" s="18">
        <v>46119</v>
      </c>
      <c r="C50" s="18">
        <v>46119</v>
      </c>
      <c r="D50" s="19">
        <v>-15</v>
      </c>
      <c r="E50" s="18">
        <v>46119</v>
      </c>
      <c r="F50" s="43">
        <f t="shared" ref="F50:F51" si="4">IF(E50&lt;&gt;"",1,-1)</f>
        <v>1</v>
      </c>
    </row>
    <row r="51" spans="1:6" ht="15.75" x14ac:dyDescent="0.25">
      <c r="A51" s="17" t="s">
        <v>265</v>
      </c>
      <c r="B51" s="18">
        <v>46119</v>
      </c>
      <c r="C51" s="18">
        <v>46126</v>
      </c>
      <c r="D51" s="19">
        <v>-8</v>
      </c>
      <c r="E51" s="18">
        <v>46126</v>
      </c>
      <c r="F51" s="43">
        <f t="shared" si="4"/>
        <v>1</v>
      </c>
    </row>
  </sheetData>
  <sheetProtection insertColumns="0" insertRows="0" deleteColumns="0" deleteRows="0" sort="0"/>
  <conditionalFormatting sqref="D4">
    <cfRule type="expression" dxfId="111" priority="42" stopIfTrue="1">
      <formula>E4&lt;&gt;""</formula>
    </cfRule>
    <cfRule type="cellIs" dxfId="110" priority="43" operator="lessThan">
      <formula>0</formula>
    </cfRule>
    <cfRule type="cellIs" dxfId="109" priority="44" operator="equal">
      <formula>0</formula>
    </cfRule>
    <cfRule type="cellIs" dxfId="108" priority="45" operator="greaterThan">
      <formula>0</formula>
    </cfRule>
  </conditionalFormatting>
  <conditionalFormatting sqref="D7">
    <cfRule type="expression" dxfId="107" priority="37" stopIfTrue="1">
      <formula>E7&lt;&gt;""</formula>
    </cfRule>
    <cfRule type="cellIs" dxfId="106" priority="38" operator="lessThan">
      <formula>0</formula>
    </cfRule>
    <cfRule type="cellIs" dxfId="105" priority="39" operator="equal">
      <formula>0</formula>
    </cfRule>
    <cfRule type="cellIs" dxfId="104" priority="40" operator="greaterThan">
      <formula>0</formula>
    </cfRule>
  </conditionalFormatting>
  <conditionalFormatting sqref="D14">
    <cfRule type="expression" dxfId="103" priority="29" stopIfTrue="1">
      <formula>E14&lt;&gt;""</formula>
    </cfRule>
    <cfRule type="cellIs" dxfId="102" priority="30" operator="lessThan">
      <formula>0</formula>
    </cfRule>
    <cfRule type="cellIs" dxfId="101" priority="31" operator="equal">
      <formula>0</formula>
    </cfRule>
    <cfRule type="cellIs" dxfId="100" priority="32" operator="greaterThan">
      <formula>0</formula>
    </cfRule>
  </conditionalFormatting>
  <conditionalFormatting sqref="D17:D18">
    <cfRule type="expression" dxfId="99" priority="14" stopIfTrue="1">
      <formula>E17&lt;&gt;""</formula>
    </cfRule>
    <cfRule type="cellIs" dxfId="98" priority="15" operator="lessThan">
      <formula>0</formula>
    </cfRule>
    <cfRule type="cellIs" dxfId="97" priority="16" operator="equal">
      <formula>0</formula>
    </cfRule>
    <cfRule type="cellIs" dxfId="96" priority="17"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41" id="{D7D7A415-1073-448C-9B55-674A514282C0}">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36" id="{64A25C5A-A609-44BA-97CB-EE33397E5222}">
            <x14:iconSet iconSet="3Symbols" showValue="0" custom="1">
              <x14:cfvo type="percent">
                <xm:f>0</xm:f>
              </x14:cfvo>
              <x14:cfvo type="num">
                <xm:f>0</xm:f>
              </x14:cfvo>
              <x14:cfvo type="num">
                <xm:f>0</xm:f>
              </x14:cfvo>
              <x14:cfIcon iconSet="3Symbols" iconId="0"/>
              <x14:cfIcon iconSet="NoIcons" iconId="0"/>
              <x14:cfIcon iconSet="3Symbols" iconId="2"/>
            </x14:iconSet>
          </x14:cfRule>
          <xm:sqref>F7</xm:sqref>
        </x14:conditionalFormatting>
        <x14:conditionalFormatting xmlns:xm="http://schemas.microsoft.com/office/excel/2006/main">
          <x14:cfRule type="iconSet" priority="35" id="{BDED5C7C-E929-4D7D-80E5-A080878401EB}">
            <x14:iconSet iconSet="3Symbols" showValue="0" custom="1">
              <x14:cfvo type="percent">
                <xm:f>0</xm:f>
              </x14:cfvo>
              <x14:cfvo type="num">
                <xm:f>0</xm:f>
              </x14:cfvo>
              <x14:cfvo type="num">
                <xm:f>0</xm:f>
              </x14:cfvo>
              <x14:cfIcon iconSet="3Symbols" iconId="0"/>
              <x14:cfIcon iconSet="NoIcons" iconId="0"/>
              <x14:cfIcon iconSet="3Symbols" iconId="2"/>
            </x14:iconSet>
          </x14:cfRule>
          <xm:sqref>F10</xm:sqref>
        </x14:conditionalFormatting>
        <x14:conditionalFormatting xmlns:xm="http://schemas.microsoft.com/office/excel/2006/main">
          <x14:cfRule type="iconSet" priority="34" id="{21520ED3-27B6-436A-9B66-5E96EFC94BF6}">
            <x14:iconSet iconSet="3Symbols" showValue="0" custom="1">
              <x14:cfvo type="percent">
                <xm:f>0</xm:f>
              </x14:cfvo>
              <x14:cfvo type="num">
                <xm:f>0</xm:f>
              </x14:cfvo>
              <x14:cfvo type="num">
                <xm:f>0</xm:f>
              </x14:cfvo>
              <x14:cfIcon iconSet="3Symbols" iconId="0"/>
              <x14:cfIcon iconSet="NoIcons" iconId="0"/>
              <x14:cfIcon iconSet="3Symbols" iconId="2"/>
            </x14:iconSet>
          </x14:cfRule>
          <xm:sqref>F11</xm:sqref>
        </x14:conditionalFormatting>
        <x14:conditionalFormatting xmlns:xm="http://schemas.microsoft.com/office/excel/2006/main">
          <x14:cfRule type="iconSet" priority="33" id="{64A1C65F-E6E6-47A8-AA76-93534AA4261D}">
            <x14:iconSet iconSet="3Symbols" showValue="0" custom="1">
              <x14:cfvo type="percent">
                <xm:f>0</xm:f>
              </x14:cfvo>
              <x14:cfvo type="num">
                <xm:f>0</xm:f>
              </x14:cfvo>
              <x14:cfvo type="num">
                <xm:f>0</xm:f>
              </x14:cfvo>
              <x14:cfIcon iconSet="3Symbols" iconId="0"/>
              <x14:cfIcon iconSet="NoIcons" iconId="0"/>
              <x14:cfIcon iconSet="3Symbols" iconId="2"/>
            </x14:iconSet>
          </x14:cfRule>
          <xm:sqref>F14</xm:sqref>
        </x14:conditionalFormatting>
        <x14:conditionalFormatting xmlns:xm="http://schemas.microsoft.com/office/excel/2006/main">
          <x14:cfRule type="iconSet" priority="23" id="{DA4E9E29-B888-407A-9476-25628773A611}">
            <x14:iconSet iconSet="3Symbols" showValue="0" custom="1">
              <x14:cfvo type="percent">
                <xm:f>0</xm:f>
              </x14:cfvo>
              <x14:cfvo type="num">
                <xm:f>0</xm:f>
              </x14:cfvo>
              <x14:cfvo type="num">
                <xm:f>0</xm:f>
              </x14:cfvo>
              <x14:cfIcon iconSet="3Symbols" iconId="0"/>
              <x14:cfIcon iconSet="NoIcons" iconId="0"/>
              <x14:cfIcon iconSet="3Symbols" iconId="2"/>
            </x14:iconSet>
          </x14:cfRule>
          <xm:sqref>F17</xm:sqref>
        </x14:conditionalFormatting>
        <x14:conditionalFormatting xmlns:xm="http://schemas.microsoft.com/office/excel/2006/main">
          <x14:cfRule type="iconSet" priority="22" id="{BF493AF7-B211-4E6D-BBA0-B0AB8A8DC97D}">
            <x14:iconSet iconSet="3Symbols" showValue="0" custom="1">
              <x14:cfvo type="percent">
                <xm:f>0</xm:f>
              </x14:cfvo>
              <x14:cfvo type="num">
                <xm:f>0</xm:f>
              </x14:cfvo>
              <x14:cfvo type="num">
                <xm:f>0</xm:f>
              </x14:cfvo>
              <x14:cfIcon iconSet="3Symbols" iconId="0"/>
              <x14:cfIcon iconSet="NoIcons" iconId="0"/>
              <x14:cfIcon iconSet="3Symbols" iconId="2"/>
            </x14:iconSet>
          </x14:cfRule>
          <xm:sqref>F18</xm:sqref>
        </x14:conditionalFormatting>
        <x14:conditionalFormatting xmlns:xm="http://schemas.microsoft.com/office/excel/2006/main">
          <x14:cfRule type="iconSet" priority="12" id="{E916D540-619F-4022-9B8A-2C01EA3DE8D1}">
            <x14:iconSet iconSet="3Symbols" showValue="0" custom="1">
              <x14:cfvo type="percent">
                <xm:f>0</xm:f>
              </x14:cfvo>
              <x14:cfvo type="num">
                <xm:f>0</xm:f>
              </x14:cfvo>
              <x14:cfvo type="num">
                <xm:f>0</xm:f>
              </x14:cfvo>
              <x14:cfIcon iconSet="3Symbols" iconId="0"/>
              <x14:cfIcon iconSet="NoIcons" iconId="0"/>
              <x14:cfIcon iconSet="3Symbols" iconId="2"/>
            </x14:iconSet>
          </x14:cfRule>
          <xm:sqref>F21:F22</xm:sqref>
        </x14:conditionalFormatting>
        <x14:conditionalFormatting xmlns:xm="http://schemas.microsoft.com/office/excel/2006/main">
          <x14:cfRule type="iconSet" priority="10" id="{DD2F03D7-0969-406E-BC9F-A791B2EF13AA}">
            <x14:iconSet iconSet="3Symbols" showValue="0" custom="1">
              <x14:cfvo type="percent">
                <xm:f>0</xm:f>
              </x14:cfvo>
              <x14:cfvo type="num">
                <xm:f>0</xm:f>
              </x14:cfvo>
              <x14:cfvo type="num">
                <xm:f>0</xm:f>
              </x14:cfvo>
              <x14:cfIcon iconSet="3Symbols" iconId="0"/>
              <x14:cfIcon iconSet="NoIcons" iconId="0"/>
              <x14:cfIcon iconSet="3Symbols" iconId="2"/>
            </x14:iconSet>
          </x14:cfRule>
          <xm:sqref>F23:F24</xm:sqref>
        </x14:conditionalFormatting>
        <x14:conditionalFormatting xmlns:xm="http://schemas.microsoft.com/office/excel/2006/main">
          <x14:cfRule type="iconSet" priority="9" id="{99DA4957-317C-4FE0-ACD9-D9610700846A}">
            <x14:iconSet iconSet="3Symbols" showValue="0" custom="1">
              <x14:cfvo type="percent">
                <xm:f>0</xm:f>
              </x14:cfvo>
              <x14:cfvo type="num">
                <xm:f>0</xm:f>
              </x14:cfvo>
              <x14:cfvo type="num">
                <xm:f>0</xm:f>
              </x14:cfvo>
              <x14:cfIcon iconSet="3Symbols" iconId="0"/>
              <x14:cfIcon iconSet="NoIcons" iconId="0"/>
              <x14:cfIcon iconSet="3Symbols" iconId="2"/>
            </x14:iconSet>
          </x14:cfRule>
          <xm:sqref>F27:F31</xm:sqref>
        </x14:conditionalFormatting>
        <x14:conditionalFormatting xmlns:xm="http://schemas.microsoft.com/office/excel/2006/main">
          <x14:cfRule type="iconSet" priority="8" id="{A223244B-7ACE-4DEA-9046-03BD915E41AE}">
            <x14:iconSet iconSet="3Symbols" showValue="0" custom="1">
              <x14:cfvo type="percent">
                <xm:f>0</xm:f>
              </x14:cfvo>
              <x14:cfvo type="num">
                <xm:f>0</xm:f>
              </x14:cfvo>
              <x14:cfvo type="num">
                <xm:f>0</xm:f>
              </x14:cfvo>
              <x14:cfIcon iconSet="3Symbols" iconId="0"/>
              <x14:cfIcon iconSet="NoIcons" iconId="0"/>
              <x14:cfIcon iconSet="3Symbols" iconId="2"/>
            </x14:iconSet>
          </x14:cfRule>
          <xm:sqref>F34</xm:sqref>
        </x14:conditionalFormatting>
        <x14:conditionalFormatting xmlns:xm="http://schemas.microsoft.com/office/excel/2006/main">
          <x14:cfRule type="iconSet" priority="4" id="{A3CE197C-5EBC-47CE-967D-57468B2CB6C3}">
            <x14:iconSet iconSet="3Symbols" showValue="0" custom="1">
              <x14:cfvo type="percent">
                <xm:f>0</xm:f>
              </x14:cfvo>
              <x14:cfvo type="num">
                <xm:f>0</xm:f>
              </x14:cfvo>
              <x14:cfvo type="num">
                <xm:f>0</xm:f>
              </x14:cfvo>
              <x14:cfIcon iconSet="3Symbols" iconId="0"/>
              <x14:cfIcon iconSet="NoIcons" iconId="0"/>
              <x14:cfIcon iconSet="3Symbols" iconId="2"/>
            </x14:iconSet>
          </x14:cfRule>
          <xm:sqref>F35:F38</xm:sqref>
        </x14:conditionalFormatting>
        <x14:conditionalFormatting xmlns:xm="http://schemas.microsoft.com/office/excel/2006/main">
          <x14:cfRule type="iconSet" priority="3" id="{75C05B00-15C2-468A-9E13-FFD40508C0B6}">
            <x14:iconSet iconSet="3Symbols" showValue="0" custom="1">
              <x14:cfvo type="percent">
                <xm:f>0</xm:f>
              </x14:cfvo>
              <x14:cfvo type="num">
                <xm:f>0</xm:f>
              </x14:cfvo>
              <x14:cfvo type="num">
                <xm:f>0</xm:f>
              </x14:cfvo>
              <x14:cfIcon iconSet="3Symbols" iconId="0"/>
              <x14:cfIcon iconSet="NoIcons" iconId="0"/>
              <x14:cfIcon iconSet="3Symbols" iconId="2"/>
            </x14:iconSet>
          </x14:cfRule>
          <xm:sqref>F41:F43</xm:sqref>
        </x14:conditionalFormatting>
        <x14:conditionalFormatting xmlns:xm="http://schemas.microsoft.com/office/excel/2006/main">
          <x14:cfRule type="iconSet" priority="2" id="{6364DE44-4E17-477D-B364-001EE0E38FF8}">
            <x14:iconSet iconSet="3Symbols" showValue="0" custom="1">
              <x14:cfvo type="percent">
                <xm:f>0</xm:f>
              </x14:cfvo>
              <x14:cfvo type="num">
                <xm:f>0</xm:f>
              </x14:cfvo>
              <x14:cfvo type="num">
                <xm:f>0</xm:f>
              </x14:cfvo>
              <x14:cfIcon iconSet="3Symbols" iconId="0"/>
              <x14:cfIcon iconSet="NoIcons" iconId="0"/>
              <x14:cfIcon iconSet="3Symbols" iconId="2"/>
            </x14:iconSet>
          </x14:cfRule>
          <xm:sqref>F46:F47</xm:sqref>
        </x14:conditionalFormatting>
        <x14:conditionalFormatting xmlns:xm="http://schemas.microsoft.com/office/excel/2006/main">
          <x14:cfRule type="iconSet" priority="1" id="{5D283A79-EEC6-4770-8D19-CBA959F8F9FD}">
            <x14:iconSet iconSet="3Symbols" showValue="0" custom="1">
              <x14:cfvo type="percent">
                <xm:f>0</xm:f>
              </x14:cfvo>
              <x14:cfvo type="num">
                <xm:f>0</xm:f>
              </x14:cfvo>
              <x14:cfvo type="num">
                <xm:f>0</xm:f>
              </x14:cfvo>
              <x14:cfIcon iconSet="3Symbols" iconId="0"/>
              <x14:cfIcon iconSet="NoIcons" iconId="0"/>
              <x14:cfIcon iconSet="3Symbols" iconId="2"/>
            </x14:iconSet>
          </x14:cfRule>
          <xm:sqref>F50:F51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2454-0084-426E-8A9C-B3E1EE025CE4}">
  <dimension ref="A1:G65"/>
  <sheetViews>
    <sheetView topLeftCell="A39" workbookViewId="0">
      <selection activeCell="D28" sqref="D28"/>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8</v>
      </c>
      <c r="B4" s="7">
        <v>46044</v>
      </c>
      <c r="C4" s="7">
        <v>46044</v>
      </c>
      <c r="D4" s="2">
        <f ca="1">_xlfn.DAYS(C4,TODAY())</f>
        <v>-90</v>
      </c>
      <c r="E4" s="7">
        <v>46044</v>
      </c>
      <c r="F4" s="3">
        <f>IF(E4&lt;&gt;"",1,-1)</f>
        <v>1</v>
      </c>
    </row>
    <row r="6" spans="1:7" x14ac:dyDescent="0.25">
      <c r="A6" s="63" t="s">
        <v>22</v>
      </c>
    </row>
    <row r="7" spans="1:7" x14ac:dyDescent="0.25">
      <c r="A7" s="5" t="s">
        <v>8</v>
      </c>
      <c r="B7" s="7">
        <v>46051</v>
      </c>
      <c r="C7" s="7">
        <v>46051</v>
      </c>
      <c r="D7" s="2">
        <f ca="1">_xlfn.DAYS(C7,TODAY())</f>
        <v>-83</v>
      </c>
      <c r="E7" s="7">
        <v>46051</v>
      </c>
      <c r="F7" s="3">
        <f>IF(E7&lt;&gt;"",1,-1)</f>
        <v>1</v>
      </c>
    </row>
    <row r="9" spans="1:7" ht="15.75" x14ac:dyDescent="0.25">
      <c r="A9" s="62" t="s">
        <v>23</v>
      </c>
      <c r="B9" s="17"/>
      <c r="C9" s="17"/>
      <c r="D9" s="17"/>
      <c r="E9" s="17"/>
      <c r="F9" s="13"/>
    </row>
    <row r="10" spans="1:7" ht="15.75" x14ac:dyDescent="0.25">
      <c r="A10" s="17" t="s">
        <v>8</v>
      </c>
      <c r="B10" s="18">
        <v>46056</v>
      </c>
      <c r="C10" s="18">
        <v>46056</v>
      </c>
      <c r="D10" s="2">
        <f ca="1">_xlfn.DAYS(C10,TODAY())</f>
        <v>-78</v>
      </c>
      <c r="E10" s="18">
        <v>46056</v>
      </c>
      <c r="F10" s="3">
        <f>IF(E10&lt;&gt;"",1,-1)</f>
        <v>1</v>
      </c>
    </row>
    <row r="11" spans="1:7" ht="30" x14ac:dyDescent="0.25">
      <c r="A11" s="20" t="s">
        <v>24</v>
      </c>
      <c r="B11" s="18">
        <v>46061</v>
      </c>
      <c r="C11" s="18">
        <v>46063</v>
      </c>
      <c r="D11" s="2">
        <f ca="1">_xlfn.DAYS(C11,TODAY())</f>
        <v>-71</v>
      </c>
      <c r="E11" s="13"/>
      <c r="F11" s="3">
        <f>IF(E11&lt;&gt;"",1,-1)</f>
        <v>-1</v>
      </c>
      <c r="G11" s="44" t="s">
        <v>25</v>
      </c>
    </row>
    <row r="13" spans="1:7" ht="15.75" x14ac:dyDescent="0.25">
      <c r="A13" s="13" t="s">
        <v>26</v>
      </c>
      <c r="B13" s="17"/>
      <c r="C13" s="17"/>
      <c r="D13" s="17"/>
      <c r="E13" s="17"/>
      <c r="F13" s="17"/>
    </row>
    <row r="14" spans="1:7" ht="15.75" x14ac:dyDescent="0.25">
      <c r="A14" s="17" t="s">
        <v>15</v>
      </c>
      <c r="B14" s="18">
        <v>46062</v>
      </c>
      <c r="C14" s="18">
        <v>46062</v>
      </c>
      <c r="D14" s="2">
        <f ca="1">_xlfn.DAYS(C14,TODAY())</f>
        <v>-72</v>
      </c>
      <c r="E14" s="18">
        <v>46062</v>
      </c>
      <c r="F14" s="3">
        <f>IF(E14&lt;&gt;"",1,-1)</f>
        <v>1</v>
      </c>
    </row>
    <row r="15" spans="1:7" ht="15.75" x14ac:dyDescent="0.25">
      <c r="A15" s="17" t="s">
        <v>27</v>
      </c>
      <c r="B15" s="18">
        <v>46062</v>
      </c>
      <c r="C15" s="18">
        <v>46062</v>
      </c>
      <c r="D15" s="2">
        <f ca="1">_xlfn.DAYS(C15,TODAY())</f>
        <v>-72</v>
      </c>
      <c r="E15" s="18">
        <v>46062</v>
      </c>
      <c r="F15" s="3">
        <f>IF(E15&lt;&gt;"",1,-1)</f>
        <v>1</v>
      </c>
    </row>
    <row r="17" spans="1:6" ht="15.75" x14ac:dyDescent="0.25">
      <c r="A17" s="4" t="s">
        <v>14</v>
      </c>
      <c r="B17" s="40"/>
      <c r="C17" s="40"/>
    </row>
    <row r="18" spans="1:6" ht="15.75" x14ac:dyDescent="0.25">
      <c r="A18" s="40" t="s">
        <v>15</v>
      </c>
      <c r="B18" s="42">
        <v>46072</v>
      </c>
      <c r="C18" s="42">
        <v>46072</v>
      </c>
      <c r="D18" s="2">
        <f ca="1">_xlfn.DAYS(C18,TODAY())</f>
        <v>-62</v>
      </c>
      <c r="E18" s="42">
        <v>46072</v>
      </c>
      <c r="F18" s="3">
        <f>IF(E18&lt;&gt;"",1,-1)</f>
        <v>1</v>
      </c>
    </row>
    <row r="20" spans="1:6" ht="15.75" x14ac:dyDescent="0.25">
      <c r="A20" s="61" t="s">
        <v>76</v>
      </c>
      <c r="B20" s="17"/>
      <c r="C20" s="17"/>
      <c r="D20" s="17"/>
      <c r="E20" s="17"/>
      <c r="F20" s="17"/>
    </row>
    <row r="21" spans="1:6" ht="15.75" x14ac:dyDescent="0.25">
      <c r="A21" s="48" t="s">
        <v>15</v>
      </c>
      <c r="B21" s="18">
        <v>46079</v>
      </c>
      <c r="C21" s="18">
        <v>46079</v>
      </c>
      <c r="D21" s="2">
        <f ca="1">_xlfn.DAYS(C21,TODAY())</f>
        <v>-55</v>
      </c>
      <c r="E21" s="18">
        <v>46079</v>
      </c>
      <c r="F21" s="3">
        <f>IF(E21&lt;&gt;"",1,-1)</f>
        <v>1</v>
      </c>
    </row>
    <row r="22" spans="1:6" ht="15.75" x14ac:dyDescent="0.25">
      <c r="A22" s="48" t="s">
        <v>27</v>
      </c>
      <c r="B22" s="18">
        <v>46079</v>
      </c>
      <c r="C22" s="18">
        <v>46079</v>
      </c>
      <c r="D22" s="2">
        <f t="shared" ref="D22:D25" ca="1" si="0">_xlfn.DAYS(C22,TODAY())</f>
        <v>-55</v>
      </c>
      <c r="E22" s="17"/>
      <c r="F22" s="3">
        <f t="shared" ref="F22:F25" si="1">IF(E22&lt;&gt;"",1,-1)</f>
        <v>-1</v>
      </c>
    </row>
    <row r="23" spans="1:6" ht="31.5" x14ac:dyDescent="0.25">
      <c r="A23" s="48" t="s">
        <v>77</v>
      </c>
      <c r="B23" s="18">
        <v>46076</v>
      </c>
      <c r="C23" s="18">
        <v>46081</v>
      </c>
      <c r="D23" s="2">
        <f t="shared" ca="1" si="0"/>
        <v>-53</v>
      </c>
      <c r="E23" s="17"/>
      <c r="F23" s="3">
        <f t="shared" si="1"/>
        <v>-1</v>
      </c>
    </row>
    <row r="24" spans="1:6" ht="15.75" x14ac:dyDescent="0.25">
      <c r="A24" s="48" t="s">
        <v>78</v>
      </c>
      <c r="B24" s="18">
        <v>46078</v>
      </c>
      <c r="C24" s="18">
        <v>46081</v>
      </c>
      <c r="D24" s="2">
        <f t="shared" ca="1" si="0"/>
        <v>-53</v>
      </c>
      <c r="E24" s="18">
        <v>46078</v>
      </c>
      <c r="F24" s="3">
        <f t="shared" si="1"/>
        <v>1</v>
      </c>
    </row>
    <row r="25" spans="1:6" ht="31.5" x14ac:dyDescent="0.25">
      <c r="A25" s="48" t="s">
        <v>79</v>
      </c>
      <c r="B25" s="18">
        <v>46079</v>
      </c>
      <c r="C25" s="18">
        <v>46081</v>
      </c>
      <c r="D25" s="2">
        <f t="shared" ca="1" si="0"/>
        <v>-53</v>
      </c>
      <c r="E25" s="18">
        <v>46080</v>
      </c>
      <c r="F25" s="3">
        <f t="shared" si="1"/>
        <v>1</v>
      </c>
    </row>
    <row r="27" spans="1:6" ht="15.75" x14ac:dyDescent="0.25">
      <c r="A27" s="61" t="s">
        <v>127</v>
      </c>
      <c r="B27" s="17"/>
      <c r="C27" s="17"/>
      <c r="D27" s="17"/>
      <c r="E27" s="17"/>
      <c r="F27" s="27"/>
    </row>
    <row r="28" spans="1:6" ht="15.75" x14ac:dyDescent="0.25">
      <c r="A28" s="48" t="s">
        <v>128</v>
      </c>
      <c r="B28" s="18">
        <v>46091</v>
      </c>
      <c r="C28" s="18">
        <v>46091</v>
      </c>
      <c r="D28" s="17"/>
      <c r="E28" s="18">
        <v>46091</v>
      </c>
      <c r="F28" s="3">
        <f t="shared" ref="F28:F30" si="2">IF(E28&lt;&gt;"",1,-1)</f>
        <v>1</v>
      </c>
    </row>
    <row r="29" spans="1:6" ht="47.25" x14ac:dyDescent="0.25">
      <c r="A29" s="48" t="s">
        <v>129</v>
      </c>
      <c r="B29" s="18">
        <v>46091</v>
      </c>
      <c r="C29" s="18">
        <v>46091</v>
      </c>
      <c r="D29" s="17"/>
      <c r="E29" s="18">
        <v>46091</v>
      </c>
      <c r="F29" s="3">
        <f t="shared" si="2"/>
        <v>1</v>
      </c>
    </row>
    <row r="30" spans="1:6" ht="31.5" x14ac:dyDescent="0.25">
      <c r="A30" s="48" t="s">
        <v>130</v>
      </c>
      <c r="B30" s="18">
        <v>46091</v>
      </c>
      <c r="C30" s="18">
        <v>46091</v>
      </c>
      <c r="D30" s="17"/>
      <c r="E30" s="18">
        <v>46091</v>
      </c>
      <c r="F30" s="3">
        <f t="shared" si="2"/>
        <v>1</v>
      </c>
    </row>
    <row r="32" spans="1:6" ht="15.75" x14ac:dyDescent="0.25">
      <c r="A32" s="61" t="s">
        <v>145</v>
      </c>
      <c r="B32" s="17"/>
      <c r="C32" s="17"/>
      <c r="D32" s="17"/>
      <c r="E32" s="17"/>
      <c r="F32" s="27"/>
    </row>
    <row r="33" spans="1:7" ht="15.75" x14ac:dyDescent="0.25">
      <c r="A33" s="48" t="s">
        <v>128</v>
      </c>
      <c r="B33" s="17"/>
      <c r="C33" s="18">
        <v>46100</v>
      </c>
      <c r="D33" s="17"/>
      <c r="E33" s="18">
        <v>46100</v>
      </c>
      <c r="F33" s="3">
        <f t="shared" ref="F33:F35" si="3">IF(E33&lt;&gt;"",1,-1)</f>
        <v>1</v>
      </c>
    </row>
    <row r="34" spans="1:7" ht="31.5" x14ac:dyDescent="0.25">
      <c r="A34" s="48" t="s">
        <v>148</v>
      </c>
      <c r="B34" s="18">
        <v>46097</v>
      </c>
      <c r="C34" s="18">
        <v>46100</v>
      </c>
      <c r="D34" s="17"/>
      <c r="E34" s="18">
        <v>46103</v>
      </c>
      <c r="F34" s="3">
        <f t="shared" si="3"/>
        <v>1</v>
      </c>
    </row>
    <row r="35" spans="1:7" ht="31.5" x14ac:dyDescent="0.25">
      <c r="A35" s="48" t="s">
        <v>149</v>
      </c>
      <c r="B35" s="18">
        <v>46097</v>
      </c>
      <c r="C35" s="18">
        <v>46072</v>
      </c>
      <c r="D35" s="17"/>
      <c r="E35" s="18">
        <v>46099</v>
      </c>
      <c r="F35" s="3">
        <f t="shared" si="3"/>
        <v>1</v>
      </c>
    </row>
    <row r="37" spans="1:7" ht="15.75" x14ac:dyDescent="0.25">
      <c r="A37" s="67" t="s">
        <v>146</v>
      </c>
      <c r="B37" s="17"/>
      <c r="C37" s="17"/>
      <c r="D37" s="17"/>
      <c r="E37" s="17"/>
      <c r="F37" s="27"/>
    </row>
    <row r="38" spans="1:7" ht="15.75" x14ac:dyDescent="0.25">
      <c r="A38" s="48" t="s">
        <v>128</v>
      </c>
      <c r="B38" s="17"/>
      <c r="C38" s="17"/>
      <c r="D38" s="17"/>
      <c r="E38" s="17"/>
      <c r="F38" s="27"/>
    </row>
    <row r="39" spans="1:7" ht="15.75" x14ac:dyDescent="0.25">
      <c r="A39" s="48" t="s">
        <v>172</v>
      </c>
      <c r="B39" s="18">
        <v>45739</v>
      </c>
      <c r="C39" s="18">
        <v>46107</v>
      </c>
      <c r="D39" s="17"/>
      <c r="E39" s="18">
        <v>46104</v>
      </c>
      <c r="F39" s="3">
        <f t="shared" ref="F39" si="4">IF(E39&lt;&gt;"",1,-1)</f>
        <v>1</v>
      </c>
    </row>
    <row r="41" spans="1:7" ht="47.25" x14ac:dyDescent="0.25">
      <c r="A41" s="67" t="s">
        <v>204</v>
      </c>
      <c r="B41" s="17"/>
      <c r="C41" s="17"/>
      <c r="D41" s="17"/>
      <c r="E41" s="17"/>
      <c r="F41" s="27"/>
      <c r="G41" s="48" t="s">
        <v>228</v>
      </c>
    </row>
    <row r="42" spans="1:7" ht="31.5" x14ac:dyDescent="0.25">
      <c r="A42" s="48" t="s">
        <v>229</v>
      </c>
      <c r="B42" s="18">
        <v>46111</v>
      </c>
      <c r="C42" s="18">
        <v>46116</v>
      </c>
      <c r="D42" s="17"/>
      <c r="E42" s="18">
        <v>46114</v>
      </c>
      <c r="F42" s="3">
        <f t="shared" ref="F42:F43" si="5">IF(E42&lt;&gt;"",1,-1)</f>
        <v>1</v>
      </c>
      <c r="G42" s="48"/>
    </row>
    <row r="43" spans="1:7" ht="31.5" x14ac:dyDescent="0.25">
      <c r="A43" s="48" t="s">
        <v>230</v>
      </c>
      <c r="B43" s="18">
        <v>46114</v>
      </c>
      <c r="C43" s="18">
        <v>46116</v>
      </c>
      <c r="D43" s="17"/>
      <c r="E43" s="18">
        <v>46114</v>
      </c>
      <c r="F43" s="3">
        <f t="shared" si="5"/>
        <v>1</v>
      </c>
      <c r="G43" s="17"/>
    </row>
    <row r="45" spans="1:7" ht="15.75" x14ac:dyDescent="0.25">
      <c r="A45" s="67" t="s">
        <v>231</v>
      </c>
      <c r="B45" s="17"/>
      <c r="C45" s="69"/>
      <c r="D45" s="17"/>
      <c r="E45" s="17"/>
    </row>
    <row r="46" spans="1:7" ht="31.5" x14ac:dyDescent="0.25">
      <c r="A46" s="48" t="s">
        <v>232</v>
      </c>
      <c r="B46" s="18">
        <v>46120</v>
      </c>
      <c r="C46" s="70">
        <v>46123</v>
      </c>
      <c r="D46" s="17"/>
      <c r="E46" s="18">
        <v>46122</v>
      </c>
      <c r="F46" s="3">
        <f t="shared" ref="F46:F53" si="6">IF(E46&lt;&gt;"",1,-1)</f>
        <v>1</v>
      </c>
    </row>
    <row r="47" spans="1:7" ht="31.5" x14ac:dyDescent="0.25">
      <c r="A47" s="48" t="s">
        <v>233</v>
      </c>
      <c r="B47" s="18">
        <v>46122</v>
      </c>
      <c r="C47" s="70">
        <v>46123</v>
      </c>
      <c r="D47" s="17"/>
      <c r="E47" s="17"/>
      <c r="F47" s="3">
        <f t="shared" si="6"/>
        <v>-1</v>
      </c>
    </row>
    <row r="48" spans="1:7" ht="31.5" x14ac:dyDescent="0.25">
      <c r="A48" s="48" t="s">
        <v>234</v>
      </c>
      <c r="B48" s="17"/>
      <c r="C48" s="70">
        <v>46123</v>
      </c>
      <c r="D48" s="17"/>
      <c r="E48" s="17"/>
      <c r="F48" s="3">
        <f t="shared" si="6"/>
        <v>-1</v>
      </c>
    </row>
    <row r="49" spans="1:6" ht="31.5" x14ac:dyDescent="0.25">
      <c r="A49" s="48" t="s">
        <v>235</v>
      </c>
      <c r="B49" s="17"/>
      <c r="C49" s="70">
        <v>46123</v>
      </c>
      <c r="D49" s="17"/>
      <c r="E49" s="17"/>
      <c r="F49" s="3">
        <f t="shared" si="6"/>
        <v>-1</v>
      </c>
    </row>
    <row r="50" spans="1:6" ht="31.5" x14ac:dyDescent="0.25">
      <c r="A50" s="48" t="s">
        <v>236</v>
      </c>
      <c r="B50" s="17"/>
      <c r="C50" s="70">
        <v>46123</v>
      </c>
      <c r="D50" s="17"/>
      <c r="E50" s="17"/>
      <c r="F50" s="3">
        <f t="shared" si="6"/>
        <v>-1</v>
      </c>
    </row>
    <row r="51" spans="1:6" ht="31.5" x14ac:dyDescent="0.25">
      <c r="A51" s="48" t="s">
        <v>237</v>
      </c>
      <c r="B51" s="17"/>
      <c r="C51" s="70">
        <v>46123</v>
      </c>
      <c r="D51" s="17"/>
      <c r="E51" s="17"/>
      <c r="F51" s="3">
        <f t="shared" si="6"/>
        <v>-1</v>
      </c>
    </row>
    <row r="52" spans="1:6" ht="31.5" x14ac:dyDescent="0.25">
      <c r="A52" s="48" t="s">
        <v>238</v>
      </c>
      <c r="B52" s="18">
        <v>46122</v>
      </c>
      <c r="C52" s="70">
        <v>46123</v>
      </c>
      <c r="D52" s="17"/>
      <c r="E52" s="18">
        <v>46122</v>
      </c>
      <c r="F52" s="3">
        <f t="shared" si="6"/>
        <v>1</v>
      </c>
    </row>
    <row r="53" spans="1:6" ht="31.5" x14ac:dyDescent="0.25">
      <c r="A53" s="48" t="s">
        <v>239</v>
      </c>
      <c r="B53" s="18">
        <v>46122</v>
      </c>
      <c r="C53" s="18">
        <v>46123</v>
      </c>
      <c r="D53" s="17"/>
      <c r="E53" s="18">
        <v>46122</v>
      </c>
      <c r="F53" s="3">
        <f t="shared" si="6"/>
        <v>1</v>
      </c>
    </row>
    <row r="55" spans="1:6" ht="15.75" x14ac:dyDescent="0.25">
      <c r="A55" s="67" t="s">
        <v>240</v>
      </c>
      <c r="B55" s="17"/>
      <c r="C55" s="17"/>
      <c r="D55" s="17"/>
      <c r="E55" s="17"/>
    </row>
    <row r="56" spans="1:6" ht="31.5" x14ac:dyDescent="0.25">
      <c r="A56" s="48" t="s">
        <v>241</v>
      </c>
      <c r="B56" s="18">
        <v>46127</v>
      </c>
      <c r="C56" s="18">
        <v>46127</v>
      </c>
      <c r="D56" s="17"/>
      <c r="E56" s="18">
        <v>46127</v>
      </c>
      <c r="F56" s="3">
        <f t="shared" ref="F56:F65" si="7">IF(E56&lt;&gt;"",1,-1)</f>
        <v>1</v>
      </c>
    </row>
    <row r="57" spans="1:6" ht="31.5" x14ac:dyDescent="0.25">
      <c r="A57" s="48" t="s">
        <v>242</v>
      </c>
      <c r="B57" s="18">
        <v>46127</v>
      </c>
      <c r="C57" s="18">
        <v>46127</v>
      </c>
      <c r="D57" s="17"/>
      <c r="E57" s="18">
        <v>46127</v>
      </c>
      <c r="F57" s="3">
        <f t="shared" si="7"/>
        <v>1</v>
      </c>
    </row>
    <row r="58" spans="1:6" ht="31.5" x14ac:dyDescent="0.25">
      <c r="A58" s="48" t="s">
        <v>243</v>
      </c>
      <c r="B58" s="18">
        <v>46127</v>
      </c>
      <c r="C58" s="18">
        <v>46127</v>
      </c>
      <c r="D58" s="17"/>
      <c r="E58" s="18">
        <v>46127</v>
      </c>
      <c r="F58" s="3">
        <f t="shared" si="7"/>
        <v>1</v>
      </c>
    </row>
    <row r="59" spans="1:6" ht="31.5" x14ac:dyDescent="0.25">
      <c r="A59" s="48" t="s">
        <v>244</v>
      </c>
      <c r="B59" s="18">
        <v>46127</v>
      </c>
      <c r="C59" s="18">
        <v>46127</v>
      </c>
      <c r="D59" s="17"/>
      <c r="E59" s="18">
        <v>46127</v>
      </c>
      <c r="F59" s="3">
        <f t="shared" si="7"/>
        <v>1</v>
      </c>
    </row>
    <row r="60" spans="1:6" ht="31.5" x14ac:dyDescent="0.25">
      <c r="A60" s="48" t="s">
        <v>245</v>
      </c>
      <c r="B60" s="18">
        <v>46127</v>
      </c>
      <c r="C60" s="18">
        <v>46127</v>
      </c>
      <c r="D60" s="17"/>
      <c r="E60" s="18">
        <v>46127</v>
      </c>
      <c r="F60" s="3">
        <f t="shared" si="7"/>
        <v>1</v>
      </c>
    </row>
    <row r="61" spans="1:6" ht="31.5" x14ac:dyDescent="0.25">
      <c r="A61" s="48" t="s">
        <v>246</v>
      </c>
      <c r="B61" s="18">
        <v>46127</v>
      </c>
      <c r="C61" s="18">
        <v>46127</v>
      </c>
      <c r="D61" s="17"/>
      <c r="E61" s="18">
        <v>46127</v>
      </c>
      <c r="F61" s="3">
        <f t="shared" si="7"/>
        <v>1</v>
      </c>
    </row>
    <row r="62" spans="1:6" ht="15.75" x14ac:dyDescent="0.25">
      <c r="A62" s="48" t="s">
        <v>247</v>
      </c>
      <c r="B62" s="18">
        <v>46127</v>
      </c>
      <c r="C62" s="18">
        <v>46127</v>
      </c>
      <c r="D62" s="17"/>
      <c r="E62" s="18">
        <v>46127</v>
      </c>
      <c r="F62" s="3">
        <f t="shared" si="7"/>
        <v>1</v>
      </c>
    </row>
    <row r="63" spans="1:6" ht="63" x14ac:dyDescent="0.25">
      <c r="A63" s="48" t="s">
        <v>248</v>
      </c>
      <c r="B63" s="18">
        <v>46127</v>
      </c>
      <c r="C63" s="18">
        <v>46127</v>
      </c>
      <c r="D63" s="17"/>
      <c r="E63" s="18">
        <v>46127</v>
      </c>
      <c r="F63" s="3">
        <f t="shared" si="7"/>
        <v>1</v>
      </c>
    </row>
    <row r="64" spans="1:6" ht="15.75" x14ac:dyDescent="0.25">
      <c r="A64" s="48" t="s">
        <v>249</v>
      </c>
      <c r="B64" s="18">
        <v>46127</v>
      </c>
      <c r="C64" s="18">
        <v>46127</v>
      </c>
      <c r="D64" s="17"/>
      <c r="E64" s="18">
        <v>46127</v>
      </c>
      <c r="F64" s="3">
        <f t="shared" si="7"/>
        <v>1</v>
      </c>
    </row>
    <row r="65" spans="1:6" ht="31.5" x14ac:dyDescent="0.25">
      <c r="A65" s="48" t="s">
        <v>250</v>
      </c>
      <c r="B65" s="18">
        <v>46127</v>
      </c>
      <c r="C65" s="18">
        <v>46127</v>
      </c>
      <c r="D65" s="17"/>
      <c r="E65" s="18">
        <v>46127</v>
      </c>
      <c r="F65" s="3">
        <f t="shared" si="7"/>
        <v>1</v>
      </c>
    </row>
  </sheetData>
  <sheetProtection insertColumns="0" insertRows="0" deleteColumns="0" deleteRows="0" sort="0"/>
  <conditionalFormatting sqref="D4">
    <cfRule type="expression" dxfId="95" priority="40" stopIfTrue="1">
      <formula>E4&lt;&gt;""</formula>
    </cfRule>
    <cfRule type="cellIs" dxfId="94" priority="41" operator="lessThan">
      <formula>0</formula>
    </cfRule>
    <cfRule type="cellIs" dxfId="93" priority="42" operator="equal">
      <formula>0</formula>
    </cfRule>
    <cfRule type="cellIs" dxfId="92" priority="43" operator="greaterThan">
      <formula>0</formula>
    </cfRule>
  </conditionalFormatting>
  <conditionalFormatting sqref="D7">
    <cfRule type="cellIs" dxfId="91" priority="37" operator="equal">
      <formula>0</formula>
    </cfRule>
    <cfRule type="cellIs" dxfId="90" priority="36" operator="lessThan">
      <formula>0</formula>
    </cfRule>
    <cfRule type="expression" dxfId="89" priority="35" stopIfTrue="1">
      <formula>E7&lt;&gt;""</formula>
    </cfRule>
    <cfRule type="cellIs" dxfId="88" priority="38" operator="greaterThan">
      <formula>0</formula>
    </cfRule>
  </conditionalFormatting>
  <conditionalFormatting sqref="D10:D11">
    <cfRule type="cellIs" dxfId="87" priority="30" operator="greaterThan">
      <formula>0</formula>
    </cfRule>
    <cfRule type="cellIs" dxfId="86" priority="29" operator="equal">
      <formula>0</formula>
    </cfRule>
    <cfRule type="cellIs" dxfId="85" priority="28" operator="lessThan">
      <formula>0</formula>
    </cfRule>
    <cfRule type="expression" dxfId="84" priority="27" stopIfTrue="1">
      <formula>E10&lt;&gt;""</formula>
    </cfRule>
  </conditionalFormatting>
  <conditionalFormatting sqref="D14:D15">
    <cfRule type="expression" dxfId="83" priority="22" stopIfTrue="1">
      <formula>E14&lt;&gt;""</formula>
    </cfRule>
    <cfRule type="cellIs" dxfId="82" priority="25" operator="greaterThan">
      <formula>0</formula>
    </cfRule>
    <cfRule type="cellIs" dxfId="81" priority="24" operator="equal">
      <formula>0</formula>
    </cfRule>
    <cfRule type="cellIs" dxfId="80" priority="23" operator="lessThan">
      <formula>0</formula>
    </cfRule>
  </conditionalFormatting>
  <conditionalFormatting sqref="D18">
    <cfRule type="expression" dxfId="79" priority="17" stopIfTrue="1">
      <formula>E18&lt;&gt;""</formula>
    </cfRule>
    <cfRule type="cellIs" dxfId="78" priority="18" operator="lessThan">
      <formula>0</formula>
    </cfRule>
    <cfRule type="cellIs" dxfId="77" priority="19" operator="equal">
      <formula>0</formula>
    </cfRule>
    <cfRule type="cellIs" dxfId="76" priority="20" operator="greaterThan">
      <formula>0</formula>
    </cfRule>
  </conditionalFormatting>
  <conditionalFormatting sqref="D21:D25">
    <cfRule type="expression" dxfId="75" priority="12" stopIfTrue="1">
      <formula>E21&lt;&gt;""</formula>
    </cfRule>
    <cfRule type="cellIs" dxfId="74" priority="13" operator="lessThan">
      <formula>0</formula>
    </cfRule>
    <cfRule type="cellIs" dxfId="73" priority="14" operator="equal">
      <formula>0</formula>
    </cfRule>
    <cfRule type="cellIs" dxfId="72" priority="15"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44" id="{A5F11746-0379-43F7-8E44-4C994DC71359}">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39" id="{D15997F0-A5D3-4A31-8B8D-D8C3A62EB390}">
            <x14:iconSet iconSet="3Symbols" showValue="0" custom="1">
              <x14:cfvo type="percent">
                <xm:f>0</xm:f>
              </x14:cfvo>
              <x14:cfvo type="num">
                <xm:f>0</xm:f>
              </x14:cfvo>
              <x14:cfvo type="num">
                <xm:f>0</xm:f>
              </x14:cfvo>
              <x14:cfIcon iconSet="3Symbols" iconId="0"/>
              <x14:cfIcon iconSet="NoIcons" iconId="0"/>
              <x14:cfIcon iconSet="3Symbols" iconId="2"/>
            </x14:iconSet>
          </x14:cfRule>
          <xm:sqref>F7</xm:sqref>
        </x14:conditionalFormatting>
        <x14:conditionalFormatting xmlns:xm="http://schemas.microsoft.com/office/excel/2006/main">
          <x14:cfRule type="iconSet" priority="26" id="{F6F314A6-C759-462F-92B0-5330388FBEB9}">
            <x14:iconSet iconSet="3Symbols" showValue="0" custom="1">
              <x14:cfvo type="percent">
                <xm:f>0</xm:f>
              </x14:cfvo>
              <x14:cfvo type="num">
                <xm:f>0</xm:f>
              </x14:cfvo>
              <x14:cfvo type="num">
                <xm:f>0</xm:f>
              </x14:cfvo>
              <x14:cfIcon iconSet="3Symbols" iconId="0"/>
              <x14:cfIcon iconSet="NoIcons" iconId="0"/>
              <x14:cfIcon iconSet="3Symbols" iconId="2"/>
            </x14:iconSet>
          </x14:cfRule>
          <xm:sqref>F10:F11</xm:sqref>
        </x14:conditionalFormatting>
        <x14:conditionalFormatting xmlns:xm="http://schemas.microsoft.com/office/excel/2006/main">
          <x14:cfRule type="iconSet" priority="21" id="{49E63B42-D803-46F6-A85D-DB32BDCE2143}">
            <x14:iconSet iconSet="3Symbols" showValue="0" custom="1">
              <x14:cfvo type="percent">
                <xm:f>0</xm:f>
              </x14:cfvo>
              <x14:cfvo type="num">
                <xm:f>0</xm:f>
              </x14:cfvo>
              <x14:cfvo type="num">
                <xm:f>0</xm:f>
              </x14:cfvo>
              <x14:cfIcon iconSet="3Symbols" iconId="0"/>
              <x14:cfIcon iconSet="NoIcons" iconId="0"/>
              <x14:cfIcon iconSet="3Symbols" iconId="2"/>
            </x14:iconSet>
          </x14:cfRule>
          <xm:sqref>F14:F15</xm:sqref>
        </x14:conditionalFormatting>
        <x14:conditionalFormatting xmlns:xm="http://schemas.microsoft.com/office/excel/2006/main">
          <x14:cfRule type="iconSet" priority="16" id="{13EE5240-2EE4-440E-BCBE-4653011AF360}">
            <x14:iconSet iconSet="3Symbols" showValue="0" custom="1">
              <x14:cfvo type="percent">
                <xm:f>0</xm:f>
              </x14:cfvo>
              <x14:cfvo type="num">
                <xm:f>0</xm:f>
              </x14:cfvo>
              <x14:cfvo type="num">
                <xm:f>0</xm:f>
              </x14:cfvo>
              <x14:cfIcon iconSet="3Symbols" iconId="0"/>
              <x14:cfIcon iconSet="NoIcons" iconId="0"/>
              <x14:cfIcon iconSet="3Symbols" iconId="2"/>
            </x14:iconSet>
          </x14:cfRule>
          <xm:sqref>F18</xm:sqref>
        </x14:conditionalFormatting>
        <x14:conditionalFormatting xmlns:xm="http://schemas.microsoft.com/office/excel/2006/main">
          <x14:cfRule type="iconSet" priority="11" id="{711E78E2-F863-4E41-B1B8-80A21640D9BD}">
            <x14:iconSet iconSet="3Symbols" showValue="0" custom="1">
              <x14:cfvo type="percent">
                <xm:f>0</xm:f>
              </x14:cfvo>
              <x14:cfvo type="num">
                <xm:f>0</xm:f>
              </x14:cfvo>
              <x14:cfvo type="num">
                <xm:f>0</xm:f>
              </x14:cfvo>
              <x14:cfIcon iconSet="3Symbols" iconId="0"/>
              <x14:cfIcon iconSet="NoIcons" iconId="0"/>
              <x14:cfIcon iconSet="3Symbols" iconId="2"/>
            </x14:iconSet>
          </x14:cfRule>
          <xm:sqref>F21:F25</xm:sqref>
        </x14:conditionalFormatting>
        <x14:conditionalFormatting xmlns:xm="http://schemas.microsoft.com/office/excel/2006/main">
          <x14:cfRule type="iconSet" priority="10" id="{0E298535-A684-4F39-B4AC-6B1499FE97CC}">
            <x14:iconSet iconSet="3Symbols" showValue="0" custom="1">
              <x14:cfvo type="percent">
                <xm:f>0</xm:f>
              </x14:cfvo>
              <x14:cfvo type="num">
                <xm:f>0</xm:f>
              </x14:cfvo>
              <x14:cfvo type="num">
                <xm:f>0</xm:f>
              </x14:cfvo>
              <x14:cfIcon iconSet="3Symbols" iconId="0"/>
              <x14:cfIcon iconSet="NoIcons" iconId="0"/>
              <x14:cfIcon iconSet="3Symbols" iconId="2"/>
            </x14:iconSet>
          </x14:cfRule>
          <xm:sqref>F28</xm:sqref>
        </x14:conditionalFormatting>
        <x14:conditionalFormatting xmlns:xm="http://schemas.microsoft.com/office/excel/2006/main">
          <x14:cfRule type="iconSet" priority="9" id="{221A533A-33E2-43D5-961B-C3A639438E8B}">
            <x14:iconSet iconSet="3Symbols" showValue="0" custom="1">
              <x14:cfvo type="percent">
                <xm:f>0</xm:f>
              </x14:cfvo>
              <x14:cfvo type="num">
                <xm:f>0</xm:f>
              </x14:cfvo>
              <x14:cfvo type="num">
                <xm:f>0</xm:f>
              </x14:cfvo>
              <x14:cfIcon iconSet="3Symbols" iconId="0"/>
              <x14:cfIcon iconSet="NoIcons" iconId="0"/>
              <x14:cfIcon iconSet="3Symbols" iconId="2"/>
            </x14:iconSet>
          </x14:cfRule>
          <xm:sqref>F29</xm:sqref>
        </x14:conditionalFormatting>
        <x14:conditionalFormatting xmlns:xm="http://schemas.microsoft.com/office/excel/2006/main">
          <x14:cfRule type="iconSet" priority="8" id="{977D8A88-3635-4C01-8602-2D90B1CA488E}">
            <x14:iconSet iconSet="3Symbols" showValue="0" custom="1">
              <x14:cfvo type="percent">
                <xm:f>0</xm:f>
              </x14:cfvo>
              <x14:cfvo type="num">
                <xm:f>0</xm:f>
              </x14:cfvo>
              <x14:cfvo type="num">
                <xm:f>0</xm:f>
              </x14:cfvo>
              <x14:cfIcon iconSet="3Symbols" iconId="0"/>
              <x14:cfIcon iconSet="NoIcons" iconId="0"/>
              <x14:cfIcon iconSet="3Symbols" iconId="2"/>
            </x14:iconSet>
          </x14:cfRule>
          <xm:sqref>F30</xm:sqref>
        </x14:conditionalFormatting>
        <x14:conditionalFormatting xmlns:xm="http://schemas.microsoft.com/office/excel/2006/main">
          <x14:cfRule type="iconSet" priority="5" id="{9E6BBD51-3B66-4F20-AC69-5D283E8FD43D}">
            <x14:iconSet iconSet="3Symbols" showValue="0" custom="1">
              <x14:cfvo type="percent">
                <xm:f>0</xm:f>
              </x14:cfvo>
              <x14:cfvo type="num">
                <xm:f>0</xm:f>
              </x14:cfvo>
              <x14:cfvo type="num">
                <xm:f>0</xm:f>
              </x14:cfvo>
              <x14:cfIcon iconSet="3Symbols" iconId="0"/>
              <x14:cfIcon iconSet="NoIcons" iconId="0"/>
              <x14:cfIcon iconSet="3Symbols" iconId="2"/>
            </x14:iconSet>
          </x14:cfRule>
          <xm:sqref>F33:F35</xm:sqref>
        </x14:conditionalFormatting>
        <x14:conditionalFormatting xmlns:xm="http://schemas.microsoft.com/office/excel/2006/main">
          <x14:cfRule type="iconSet" priority="4" id="{51169346-B810-4DE3-8D60-8C8071D244A5}">
            <x14:iconSet iconSet="3Symbols" showValue="0" custom="1">
              <x14:cfvo type="percent">
                <xm:f>0</xm:f>
              </x14:cfvo>
              <x14:cfvo type="num">
                <xm:f>0</xm:f>
              </x14:cfvo>
              <x14:cfvo type="num">
                <xm:f>0</xm:f>
              </x14:cfvo>
              <x14:cfIcon iconSet="3Symbols" iconId="0"/>
              <x14:cfIcon iconSet="NoIcons" iconId="0"/>
              <x14:cfIcon iconSet="3Symbols" iconId="2"/>
            </x14:iconSet>
          </x14:cfRule>
          <xm:sqref>F39</xm:sqref>
        </x14:conditionalFormatting>
        <x14:conditionalFormatting xmlns:xm="http://schemas.microsoft.com/office/excel/2006/main">
          <x14:cfRule type="iconSet" priority="3" id="{83D573D0-0992-47F3-91DC-3E4FD40BD2F7}">
            <x14:iconSet iconSet="3Symbols" showValue="0" custom="1">
              <x14:cfvo type="percent">
                <xm:f>0</xm:f>
              </x14:cfvo>
              <x14:cfvo type="num">
                <xm:f>0</xm:f>
              </x14:cfvo>
              <x14:cfvo type="num">
                <xm:f>0</xm:f>
              </x14:cfvo>
              <x14:cfIcon iconSet="3Symbols" iconId="0"/>
              <x14:cfIcon iconSet="NoIcons" iconId="0"/>
              <x14:cfIcon iconSet="3Symbols" iconId="2"/>
            </x14:iconSet>
          </x14:cfRule>
          <xm:sqref>F42:F43</xm:sqref>
        </x14:conditionalFormatting>
        <x14:conditionalFormatting xmlns:xm="http://schemas.microsoft.com/office/excel/2006/main">
          <x14:cfRule type="iconSet" priority="2" id="{BFF94084-09A6-4619-8069-8ED9081C4979}">
            <x14:iconSet iconSet="3Symbols" showValue="0" custom="1">
              <x14:cfvo type="percent">
                <xm:f>0</xm:f>
              </x14:cfvo>
              <x14:cfvo type="num">
                <xm:f>0</xm:f>
              </x14:cfvo>
              <x14:cfvo type="num">
                <xm:f>0</xm:f>
              </x14:cfvo>
              <x14:cfIcon iconSet="3Symbols" iconId="0"/>
              <x14:cfIcon iconSet="NoIcons" iconId="0"/>
              <x14:cfIcon iconSet="3Symbols" iconId="2"/>
            </x14:iconSet>
          </x14:cfRule>
          <xm:sqref>F46:F53</xm:sqref>
        </x14:conditionalFormatting>
        <x14:conditionalFormatting xmlns:xm="http://schemas.microsoft.com/office/excel/2006/main">
          <x14:cfRule type="iconSet" priority="1" id="{CFF6E44C-CBB5-4613-B796-5A220ACFDE17}">
            <x14:iconSet iconSet="3Symbols" showValue="0" custom="1">
              <x14:cfvo type="percent">
                <xm:f>0</xm:f>
              </x14:cfvo>
              <x14:cfvo type="num">
                <xm:f>0</xm:f>
              </x14:cfvo>
              <x14:cfvo type="num">
                <xm:f>0</xm:f>
              </x14:cfvo>
              <x14:cfIcon iconSet="3Symbols" iconId="0"/>
              <x14:cfIcon iconSet="NoIcons" iconId="0"/>
              <x14:cfIcon iconSet="3Symbols" iconId="2"/>
            </x14:iconSet>
          </x14:cfRule>
          <xm:sqref>F56:F65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127B-AACD-4CB2-B710-0E6ABB1E4BF7}">
  <dimension ref="A1:G59"/>
  <sheetViews>
    <sheetView topLeftCell="A51" workbookViewId="0">
      <selection activeCell="F58" sqref="F58:F59"/>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8</v>
      </c>
      <c r="B4" s="7">
        <v>46044</v>
      </c>
      <c r="C4" s="7">
        <v>46044</v>
      </c>
      <c r="D4" s="2">
        <f ca="1">_xlfn.DAYS(C4,TODAY())</f>
        <v>-90</v>
      </c>
      <c r="E4" s="7">
        <v>46044</v>
      </c>
      <c r="F4" s="3">
        <f>IF(E4&lt;&gt;"",1,-1)</f>
        <v>1</v>
      </c>
    </row>
    <row r="6" spans="1:7" x14ac:dyDescent="0.25">
      <c r="A6" s="6" t="s">
        <v>9</v>
      </c>
    </row>
    <row r="7" spans="1:7" x14ac:dyDescent="0.25">
      <c r="A7" s="5" t="s">
        <v>8</v>
      </c>
      <c r="B7" s="7">
        <v>46051</v>
      </c>
      <c r="C7" s="7">
        <v>46051</v>
      </c>
      <c r="D7" s="2">
        <f ca="1">_xlfn.DAYS(C7,TODAY())</f>
        <v>-83</v>
      </c>
      <c r="E7" s="7">
        <v>46051</v>
      </c>
      <c r="F7" s="3">
        <f>IF(E7&lt;&gt;"",1,-1)</f>
        <v>1</v>
      </c>
    </row>
    <row r="9" spans="1:7" ht="15.75" x14ac:dyDescent="0.25">
      <c r="A9" s="21" t="s">
        <v>28</v>
      </c>
      <c r="B9" s="22"/>
      <c r="C9" s="22"/>
      <c r="D9" s="23"/>
      <c r="E9" s="22"/>
      <c r="F9" s="22"/>
    </row>
    <row r="10" spans="1:7" ht="30" x14ac:dyDescent="0.25">
      <c r="A10" s="25" t="s">
        <v>29</v>
      </c>
      <c r="B10" s="26">
        <v>46058</v>
      </c>
      <c r="C10" s="26">
        <v>46058</v>
      </c>
      <c r="D10" s="2">
        <f ca="1">_xlfn.DAYS(C10,TODAY())</f>
        <v>-76</v>
      </c>
      <c r="E10" s="26">
        <v>46058</v>
      </c>
      <c r="F10" s="24">
        <f>IF(E10&lt;&gt;"",1,-1)</f>
        <v>1</v>
      </c>
    </row>
    <row r="11" spans="1:7" ht="30" x14ac:dyDescent="0.25">
      <c r="A11" s="25" t="s">
        <v>30</v>
      </c>
      <c r="B11" s="26">
        <v>46058</v>
      </c>
      <c r="C11" s="26">
        <v>46058</v>
      </c>
      <c r="D11" s="2">
        <f t="shared" ref="D11:D13" ca="1" si="0">_xlfn.DAYS(C11,TODAY())</f>
        <v>-76</v>
      </c>
      <c r="E11" s="26">
        <v>46058</v>
      </c>
      <c r="F11" s="24">
        <f>IF(E11&lt;&gt;"",1,-1)</f>
        <v>1</v>
      </c>
    </row>
    <row r="12" spans="1:7" ht="45" x14ac:dyDescent="0.25">
      <c r="A12" s="25" t="s">
        <v>31</v>
      </c>
      <c r="B12" s="26">
        <v>46059</v>
      </c>
      <c r="C12" s="26">
        <v>46059</v>
      </c>
      <c r="D12" s="2">
        <f t="shared" ca="1" si="0"/>
        <v>-75</v>
      </c>
      <c r="E12" s="26">
        <v>46059</v>
      </c>
      <c r="F12" s="24" t="s">
        <v>32</v>
      </c>
    </row>
    <row r="13" spans="1:7" x14ac:dyDescent="0.25">
      <c r="A13" s="5" t="s">
        <v>8</v>
      </c>
      <c r="B13" s="7">
        <v>46056</v>
      </c>
      <c r="C13" s="7">
        <v>46056</v>
      </c>
      <c r="D13" s="2">
        <f t="shared" ca="1" si="0"/>
        <v>-78</v>
      </c>
      <c r="E13" s="7"/>
      <c r="F13" s="24">
        <f>IF(E13&lt;&gt;"",1,-1)</f>
        <v>-1</v>
      </c>
      <c r="G13" s="5" t="s">
        <v>33</v>
      </c>
    </row>
    <row r="15" spans="1:7" ht="15.75" x14ac:dyDescent="0.25">
      <c r="A15" s="28" t="s">
        <v>34</v>
      </c>
      <c r="B15" s="29"/>
      <c r="C15" s="29"/>
      <c r="D15" s="30"/>
      <c r="E15" s="29"/>
      <c r="F15" s="31"/>
      <c r="G15" s="29"/>
    </row>
    <row r="16" spans="1:7" ht="15.75" x14ac:dyDescent="0.25">
      <c r="A16" s="32" t="s">
        <v>35</v>
      </c>
      <c r="B16" s="33">
        <v>46062</v>
      </c>
      <c r="C16" s="33">
        <v>46062</v>
      </c>
      <c r="D16" s="30">
        <f t="shared" ref="D16:D18" ca="1" si="1">_xlfn.DAYS(C16,TODAY())</f>
        <v>-72</v>
      </c>
      <c r="E16" s="33">
        <v>46062</v>
      </c>
      <c r="F16" s="31">
        <f>IF(E16&lt;&gt;"",1,-1)</f>
        <v>1</v>
      </c>
      <c r="G16" s="34"/>
    </row>
    <row r="17" spans="1:7" ht="90" x14ac:dyDescent="0.25">
      <c r="A17" s="35" t="s">
        <v>36</v>
      </c>
      <c r="B17" s="33">
        <v>46062</v>
      </c>
      <c r="C17" s="33">
        <v>46062</v>
      </c>
      <c r="D17" s="30">
        <f t="shared" ca="1" si="1"/>
        <v>-72</v>
      </c>
      <c r="E17" s="33">
        <v>46062</v>
      </c>
      <c r="F17" s="31">
        <f>IF(E17&lt;&gt;"",1,-1)</f>
        <v>1</v>
      </c>
      <c r="G17" s="34"/>
    </row>
    <row r="18" spans="1:7" ht="30" x14ac:dyDescent="0.25">
      <c r="A18" s="35" t="s">
        <v>37</v>
      </c>
      <c r="B18" s="33">
        <v>46065</v>
      </c>
      <c r="C18" s="33">
        <v>46065</v>
      </c>
      <c r="D18" s="30">
        <f t="shared" ca="1" si="1"/>
        <v>-69</v>
      </c>
      <c r="E18" s="33">
        <v>46065</v>
      </c>
      <c r="F18" s="31">
        <f>IF(E18&lt;&gt;"",1,-1)</f>
        <v>1</v>
      </c>
      <c r="G18" s="34"/>
    </row>
    <row r="20" spans="1:7" ht="15.75" x14ac:dyDescent="0.25">
      <c r="A20" s="40" t="s">
        <v>14</v>
      </c>
      <c r="B20" s="40"/>
      <c r="C20" s="40"/>
    </row>
    <row r="21" spans="1:7" ht="15.75" x14ac:dyDescent="0.25">
      <c r="A21" s="40" t="s">
        <v>15</v>
      </c>
      <c r="B21" s="42">
        <v>46072</v>
      </c>
      <c r="C21" s="42">
        <v>46072</v>
      </c>
      <c r="D21" s="2">
        <f ca="1">_xlfn.DAYS(C21,TODAY())</f>
        <v>-62</v>
      </c>
      <c r="E21" s="42">
        <v>46072</v>
      </c>
      <c r="F21" s="3">
        <f>IF(E21&lt;&gt;"",1,-1)</f>
        <v>1</v>
      </c>
    </row>
    <row r="23" spans="1:7" ht="15.75" x14ac:dyDescent="0.25">
      <c r="A23" s="55" t="s">
        <v>97</v>
      </c>
      <c r="B23" s="22"/>
      <c r="C23" s="22"/>
      <c r="D23" s="56"/>
      <c r="E23" s="22"/>
      <c r="F23" s="22"/>
    </row>
    <row r="24" spans="1:7" ht="15.75" x14ac:dyDescent="0.25">
      <c r="A24" s="25" t="s">
        <v>98</v>
      </c>
      <c r="B24" s="26">
        <v>46079</v>
      </c>
      <c r="C24" s="26">
        <v>46079</v>
      </c>
      <c r="D24" s="56">
        <v>-2</v>
      </c>
      <c r="E24" s="26">
        <v>46079</v>
      </c>
      <c r="F24" s="3">
        <f>IF(E24&lt;&gt;"",1,-1)</f>
        <v>1</v>
      </c>
    </row>
    <row r="25" spans="1:7" ht="30" x14ac:dyDescent="0.25">
      <c r="A25" s="25" t="s">
        <v>99</v>
      </c>
      <c r="B25" s="26">
        <v>46079</v>
      </c>
      <c r="C25" s="26">
        <v>46079</v>
      </c>
      <c r="D25" s="56">
        <v>-2</v>
      </c>
      <c r="E25" s="22"/>
      <c r="F25" s="3">
        <f>IF(E25&lt;&gt;"",1,-1)</f>
        <v>-1</v>
      </c>
    </row>
    <row r="27" spans="1:7" ht="15.75" x14ac:dyDescent="0.25">
      <c r="A27" s="55" t="s">
        <v>107</v>
      </c>
      <c r="B27" s="22"/>
      <c r="C27" s="22"/>
      <c r="D27" s="56"/>
      <c r="E27" s="22"/>
      <c r="F27" s="22"/>
    </row>
    <row r="28" spans="1:7" ht="75" x14ac:dyDescent="0.25">
      <c r="A28" s="25" t="s">
        <v>108</v>
      </c>
      <c r="B28" s="26">
        <v>46082</v>
      </c>
      <c r="C28" s="26">
        <v>46082</v>
      </c>
      <c r="D28" s="56">
        <v>-16</v>
      </c>
      <c r="E28" s="26">
        <v>46082</v>
      </c>
      <c r="F28" s="3">
        <f>IF(E28&lt;&gt;"",1,-1)</f>
        <v>1</v>
      </c>
    </row>
    <row r="29" spans="1:7" ht="15.75" x14ac:dyDescent="0.25">
      <c r="A29" s="25" t="s">
        <v>98</v>
      </c>
      <c r="B29" s="26">
        <v>46086</v>
      </c>
      <c r="C29" s="26">
        <v>46086</v>
      </c>
      <c r="D29" s="56">
        <v>-12</v>
      </c>
      <c r="E29" s="26">
        <v>46086</v>
      </c>
      <c r="F29" s="3">
        <f t="shared" ref="F29:F34" si="2">IF(E29&lt;&gt;"",1,-1)</f>
        <v>1</v>
      </c>
    </row>
    <row r="30" spans="1:7" ht="15.75" x14ac:dyDescent="0.25">
      <c r="A30" s="25"/>
      <c r="B30" s="22"/>
      <c r="C30" s="22"/>
      <c r="D30" s="56"/>
      <c r="E30" s="22"/>
      <c r="F30" s="3"/>
    </row>
    <row r="31" spans="1:7" ht="15.75" x14ac:dyDescent="0.25">
      <c r="A31" s="55" t="s">
        <v>109</v>
      </c>
      <c r="B31" s="22"/>
      <c r="C31" s="22"/>
      <c r="D31" s="56"/>
      <c r="E31" s="22"/>
      <c r="F31" s="3"/>
      <c r="G31" s="5" t="s">
        <v>32</v>
      </c>
    </row>
    <row r="32" spans="1:7" ht="15.75" x14ac:dyDescent="0.25">
      <c r="A32" s="25" t="s">
        <v>110</v>
      </c>
      <c r="B32" s="26">
        <v>46089</v>
      </c>
      <c r="C32" s="26">
        <v>46089</v>
      </c>
      <c r="D32" s="56">
        <v>-9</v>
      </c>
      <c r="E32" s="26">
        <v>46089</v>
      </c>
      <c r="F32" s="3">
        <f t="shared" si="2"/>
        <v>1</v>
      </c>
    </row>
    <row r="33" spans="1:6" ht="45" x14ac:dyDescent="0.25">
      <c r="A33" s="25" t="s">
        <v>111</v>
      </c>
      <c r="B33" s="26">
        <v>46095</v>
      </c>
      <c r="C33" s="26">
        <v>46095</v>
      </c>
      <c r="D33" s="56">
        <v>-3</v>
      </c>
      <c r="E33" s="26">
        <v>46095</v>
      </c>
      <c r="F33" s="3">
        <f t="shared" si="2"/>
        <v>1</v>
      </c>
    </row>
    <row r="34" spans="1:6" ht="45" x14ac:dyDescent="0.25">
      <c r="A34" s="25" t="s">
        <v>112</v>
      </c>
      <c r="B34" s="26">
        <v>46095</v>
      </c>
      <c r="C34" s="26">
        <v>46095</v>
      </c>
      <c r="D34" s="56">
        <v>-3</v>
      </c>
      <c r="E34" s="22"/>
      <c r="F34" s="3">
        <f t="shared" si="2"/>
        <v>-1</v>
      </c>
    </row>
    <row r="36" spans="1:6" ht="15.75" x14ac:dyDescent="0.25">
      <c r="A36" s="55" t="s">
        <v>150</v>
      </c>
      <c r="B36" s="22"/>
      <c r="C36" s="22"/>
      <c r="D36" s="56"/>
      <c r="E36" s="22"/>
      <c r="F36" s="22"/>
    </row>
    <row r="37" spans="1:6" ht="15.75" x14ac:dyDescent="0.25">
      <c r="A37" s="25" t="s">
        <v>110</v>
      </c>
      <c r="B37" s="26">
        <v>46100</v>
      </c>
      <c r="C37" s="26">
        <v>46100</v>
      </c>
      <c r="D37" s="56">
        <v>-3</v>
      </c>
      <c r="E37" s="26">
        <v>46100</v>
      </c>
      <c r="F37" s="3">
        <f t="shared" ref="F37:F42" si="3">IF(E37&lt;&gt;"",1,-1)</f>
        <v>1</v>
      </c>
    </row>
    <row r="38" spans="1:6" ht="30" x14ac:dyDescent="0.25">
      <c r="A38" s="25" t="s">
        <v>151</v>
      </c>
      <c r="B38" s="26">
        <v>46101</v>
      </c>
      <c r="C38" s="26">
        <v>46101</v>
      </c>
      <c r="D38" s="56">
        <v>-2</v>
      </c>
      <c r="E38" s="26">
        <v>46101</v>
      </c>
      <c r="F38" s="3">
        <f t="shared" si="3"/>
        <v>1</v>
      </c>
    </row>
    <row r="39" spans="1:6" ht="30" x14ac:dyDescent="0.25">
      <c r="A39" s="25" t="s">
        <v>152</v>
      </c>
      <c r="B39" s="26">
        <v>46101</v>
      </c>
      <c r="C39" s="26">
        <v>46101</v>
      </c>
      <c r="D39" s="56">
        <v>-2</v>
      </c>
      <c r="E39" s="26">
        <v>46101</v>
      </c>
      <c r="F39" s="3">
        <f t="shared" si="3"/>
        <v>1</v>
      </c>
    </row>
    <row r="40" spans="1:6" ht="30" x14ac:dyDescent="0.25">
      <c r="A40" s="25" t="s">
        <v>153</v>
      </c>
      <c r="B40" s="26">
        <v>46101</v>
      </c>
      <c r="C40" s="26">
        <v>46101</v>
      </c>
      <c r="D40" s="56">
        <v>-2</v>
      </c>
      <c r="E40" s="26">
        <v>46101</v>
      </c>
      <c r="F40" s="3">
        <f t="shared" si="3"/>
        <v>1</v>
      </c>
    </row>
    <row r="41" spans="1:6" ht="30" x14ac:dyDescent="0.25">
      <c r="A41" s="25" t="s">
        <v>154</v>
      </c>
      <c r="B41" s="26">
        <v>46101</v>
      </c>
      <c r="C41" s="26">
        <v>46101</v>
      </c>
      <c r="D41" s="56">
        <v>-2</v>
      </c>
      <c r="E41" s="26">
        <v>46101</v>
      </c>
      <c r="F41" s="3">
        <f t="shared" si="3"/>
        <v>1</v>
      </c>
    </row>
    <row r="42" spans="1:6" ht="15.75" x14ac:dyDescent="0.25">
      <c r="A42" s="25" t="s">
        <v>155</v>
      </c>
      <c r="B42" s="26">
        <v>46101</v>
      </c>
      <c r="C42" s="26">
        <v>46101</v>
      </c>
      <c r="D42" s="56">
        <v>-2</v>
      </c>
      <c r="E42" s="26">
        <v>46101</v>
      </c>
      <c r="F42" s="3">
        <f t="shared" si="3"/>
        <v>1</v>
      </c>
    </row>
    <row r="44" spans="1:6" ht="15.75" x14ac:dyDescent="0.25">
      <c r="A44" s="55" t="s">
        <v>173</v>
      </c>
      <c r="B44" s="22"/>
      <c r="C44" s="22"/>
      <c r="D44" s="56"/>
      <c r="E44" s="22"/>
      <c r="F44" s="22"/>
    </row>
    <row r="45" spans="1:6" ht="15.75" x14ac:dyDescent="0.25">
      <c r="A45" s="25" t="s">
        <v>98</v>
      </c>
      <c r="B45" s="26">
        <v>46107</v>
      </c>
      <c r="C45" s="26">
        <v>46107</v>
      </c>
      <c r="D45" s="56">
        <v>-9</v>
      </c>
      <c r="E45" s="26">
        <v>46107</v>
      </c>
      <c r="F45" s="3">
        <f t="shared" ref="F45:F46" si="4">IF(E45&lt;&gt;"",1,-1)</f>
        <v>1</v>
      </c>
    </row>
    <row r="46" spans="1:6" ht="15.75" x14ac:dyDescent="0.25">
      <c r="A46" s="25" t="s">
        <v>174</v>
      </c>
      <c r="B46" s="26">
        <v>46109</v>
      </c>
      <c r="C46" s="26">
        <v>46109</v>
      </c>
      <c r="D46" s="56">
        <v>-7</v>
      </c>
      <c r="E46" s="22"/>
      <c r="F46" s="3">
        <f t="shared" si="4"/>
        <v>-1</v>
      </c>
    </row>
    <row r="47" spans="1:6" ht="15.75" x14ac:dyDescent="0.25">
      <c r="A47" s="25"/>
      <c r="B47" s="22"/>
      <c r="C47" s="22"/>
      <c r="D47" s="56"/>
      <c r="E47" s="22"/>
      <c r="F47" s="22"/>
    </row>
    <row r="48" spans="1:6" ht="15.75" x14ac:dyDescent="0.25">
      <c r="A48" s="55" t="s">
        <v>175</v>
      </c>
      <c r="B48" s="22"/>
      <c r="C48" s="22"/>
      <c r="D48" s="56"/>
      <c r="E48" s="22"/>
      <c r="F48" s="22"/>
    </row>
    <row r="49" spans="1:6" ht="15.75" x14ac:dyDescent="0.25">
      <c r="A49" s="25" t="s">
        <v>176</v>
      </c>
      <c r="B49" s="26">
        <v>46110</v>
      </c>
      <c r="C49" s="26">
        <v>46110</v>
      </c>
      <c r="D49" s="56">
        <v>-6</v>
      </c>
      <c r="E49" s="26">
        <v>46110</v>
      </c>
      <c r="F49" s="3">
        <f t="shared" ref="F49:F50" si="5">IF(E49&lt;&gt;"",1,-1)</f>
        <v>1</v>
      </c>
    </row>
    <row r="50" spans="1:6" ht="15.75" x14ac:dyDescent="0.25">
      <c r="A50" s="25" t="s">
        <v>177</v>
      </c>
      <c r="B50" s="26">
        <v>46111</v>
      </c>
      <c r="C50" s="26">
        <v>46111</v>
      </c>
      <c r="D50" s="56">
        <v>-5</v>
      </c>
      <c r="E50" s="26">
        <v>46111</v>
      </c>
      <c r="F50" s="3">
        <f t="shared" si="5"/>
        <v>1</v>
      </c>
    </row>
    <row r="52" spans="1:6" ht="15.75" x14ac:dyDescent="0.25">
      <c r="A52" s="55" t="s">
        <v>223</v>
      </c>
      <c r="B52" s="22"/>
      <c r="C52" s="22"/>
      <c r="D52" s="56"/>
      <c r="E52" s="22"/>
      <c r="F52" s="22"/>
    </row>
    <row r="53" spans="1:6" ht="15.75" x14ac:dyDescent="0.25">
      <c r="A53" s="25" t="s">
        <v>110</v>
      </c>
      <c r="B53" s="26">
        <v>46119</v>
      </c>
      <c r="C53" s="26">
        <v>46119</v>
      </c>
      <c r="D53" s="56">
        <v>-15</v>
      </c>
      <c r="E53" s="26">
        <v>46119</v>
      </c>
      <c r="F53" s="3">
        <f t="shared" ref="F53:F55" si="6">IF(E53&lt;&gt;"",1,-1)</f>
        <v>1</v>
      </c>
    </row>
    <row r="54" spans="1:6" ht="30" x14ac:dyDescent="0.25">
      <c r="A54" s="25" t="s">
        <v>224</v>
      </c>
      <c r="B54" s="26">
        <v>46119</v>
      </c>
      <c r="C54" s="26">
        <v>46119</v>
      </c>
      <c r="D54" s="56">
        <v>-15</v>
      </c>
      <c r="E54" s="26">
        <v>46119</v>
      </c>
      <c r="F54" s="3">
        <f t="shared" si="6"/>
        <v>1</v>
      </c>
    </row>
    <row r="55" spans="1:6" ht="30" x14ac:dyDescent="0.25">
      <c r="A55" s="25" t="s">
        <v>224</v>
      </c>
      <c r="B55" s="26">
        <v>46120</v>
      </c>
      <c r="C55" s="26">
        <v>46120</v>
      </c>
      <c r="D55" s="56">
        <v>-14</v>
      </c>
      <c r="E55" s="26">
        <v>46120</v>
      </c>
      <c r="F55" s="3">
        <f t="shared" si="6"/>
        <v>1</v>
      </c>
    </row>
    <row r="56" spans="1:6" ht="15.75" x14ac:dyDescent="0.25">
      <c r="A56" s="25"/>
      <c r="B56" s="22"/>
      <c r="C56" s="22"/>
      <c r="D56" s="56"/>
      <c r="E56" s="22"/>
      <c r="F56" s="22"/>
    </row>
    <row r="57" spans="1:6" ht="15.75" x14ac:dyDescent="0.25">
      <c r="A57" s="55" t="s">
        <v>225</v>
      </c>
      <c r="B57" s="22"/>
      <c r="C57" s="22"/>
      <c r="D57" s="56"/>
      <c r="E57" s="22"/>
      <c r="F57" s="22"/>
    </row>
    <row r="58" spans="1:6" ht="30" x14ac:dyDescent="0.25">
      <c r="A58" s="25" t="s">
        <v>226</v>
      </c>
      <c r="B58" s="26">
        <v>46125</v>
      </c>
      <c r="C58" s="26">
        <v>46125</v>
      </c>
      <c r="D58" s="56">
        <v>-9</v>
      </c>
      <c r="E58" s="26">
        <v>46125</v>
      </c>
      <c r="F58" s="3">
        <f t="shared" ref="F58:F59" si="7">IF(E58&lt;&gt;"",1,-1)</f>
        <v>1</v>
      </c>
    </row>
    <row r="59" spans="1:6" ht="30" x14ac:dyDescent="0.25">
      <c r="A59" s="25" t="s">
        <v>227</v>
      </c>
      <c r="B59" s="26">
        <v>46127</v>
      </c>
      <c r="C59" s="26">
        <v>46127</v>
      </c>
      <c r="D59" s="56">
        <v>-7</v>
      </c>
      <c r="E59" s="26">
        <v>46127</v>
      </c>
      <c r="F59" s="3">
        <f t="shared" si="7"/>
        <v>1</v>
      </c>
    </row>
  </sheetData>
  <sheetProtection insertColumns="0" insertRows="0" deleteColumns="0" deleteRows="0" sort="0"/>
  <conditionalFormatting sqref="D4">
    <cfRule type="expression" dxfId="71" priority="25" stopIfTrue="1">
      <formula>E4&lt;&gt;""</formula>
    </cfRule>
    <cfRule type="cellIs" dxfId="70" priority="26" operator="lessThan">
      <formula>0</formula>
    </cfRule>
    <cfRule type="cellIs" dxfId="69" priority="27" operator="equal">
      <formula>0</formula>
    </cfRule>
    <cfRule type="cellIs" dxfId="68" priority="28" operator="greaterThan">
      <formula>0</formula>
    </cfRule>
  </conditionalFormatting>
  <conditionalFormatting sqref="D7">
    <cfRule type="expression" dxfId="67" priority="20" stopIfTrue="1">
      <formula>E7&lt;&gt;""</formula>
    </cfRule>
    <cfRule type="cellIs" dxfId="66" priority="21" operator="lessThan">
      <formula>0</formula>
    </cfRule>
    <cfRule type="cellIs" dxfId="65" priority="22" operator="equal">
      <formula>0</formula>
    </cfRule>
    <cfRule type="cellIs" dxfId="64" priority="23" operator="greaterThan">
      <formula>0</formula>
    </cfRule>
  </conditionalFormatting>
  <conditionalFormatting sqref="D10:D13">
    <cfRule type="expression" dxfId="63" priority="15" stopIfTrue="1">
      <formula>E10&lt;&gt;""</formula>
    </cfRule>
    <cfRule type="cellIs" dxfId="62" priority="16" operator="lessThan">
      <formula>0</formula>
    </cfRule>
    <cfRule type="cellIs" dxfId="61" priority="17" operator="equal">
      <formula>0</formula>
    </cfRule>
    <cfRule type="cellIs" dxfId="60" priority="18" operator="greaterThan">
      <formula>0</formula>
    </cfRule>
  </conditionalFormatting>
  <conditionalFormatting sqref="D21">
    <cfRule type="expression" dxfId="59" priority="10" stopIfTrue="1">
      <formula>E21&lt;&gt;""</formula>
    </cfRule>
    <cfRule type="cellIs" dxfId="58" priority="11" operator="lessThan">
      <formula>0</formula>
    </cfRule>
    <cfRule type="cellIs" dxfId="57" priority="12" operator="equal">
      <formula>0</formula>
    </cfRule>
    <cfRule type="cellIs" dxfId="56" priority="13"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9" id="{D905E844-BF45-4CB6-8BBF-452F903EA82C}">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24" id="{073735AE-F6ED-4E5C-91CC-9111ED2DBC20}">
            <x14:iconSet iconSet="3Symbols" showValue="0" custom="1">
              <x14:cfvo type="percent">
                <xm:f>0</xm:f>
              </x14:cfvo>
              <x14:cfvo type="num">
                <xm:f>0</xm:f>
              </x14:cfvo>
              <x14:cfvo type="num">
                <xm:f>0</xm:f>
              </x14:cfvo>
              <x14:cfIcon iconSet="3Symbols" iconId="0"/>
              <x14:cfIcon iconSet="NoIcons" iconId="0"/>
              <x14:cfIcon iconSet="3Symbols" iconId="2"/>
            </x14:iconSet>
          </x14:cfRule>
          <xm:sqref>F7</xm:sqref>
        </x14:conditionalFormatting>
        <x14:conditionalFormatting xmlns:xm="http://schemas.microsoft.com/office/excel/2006/main">
          <x14:cfRule type="iconSet" priority="19" id="{9F6F34C7-BCCE-4F3D-AC13-5C086495A751}">
            <x14:iconSet iconSet="3Symbols" showValue="0" custom="1">
              <x14:cfvo type="percent">
                <xm:f>0</xm:f>
              </x14:cfvo>
              <x14:cfvo type="num">
                <xm:f>0</xm:f>
              </x14:cfvo>
              <x14:cfvo type="num">
                <xm:f>0</xm:f>
              </x14:cfvo>
              <x14:cfIcon iconSet="3Symbols" iconId="0"/>
              <x14:cfIcon iconSet="NoIcons" iconId="0"/>
              <x14:cfIcon iconSet="3Symbols" iconId="2"/>
            </x14:iconSet>
          </x14:cfRule>
          <xm:sqref>F10:F13</xm:sqref>
        </x14:conditionalFormatting>
        <x14:conditionalFormatting xmlns:xm="http://schemas.microsoft.com/office/excel/2006/main">
          <x14:cfRule type="iconSet" priority="14" id="{DA9AC0A1-3789-41F9-9EF0-15287EBAA28A}">
            <x14:iconSet iconSet="3Symbols" showValue="0" custom="1">
              <x14:cfvo type="percent">
                <xm:f>0</xm:f>
              </x14:cfvo>
              <x14:cfvo type="num">
                <xm:f>0</xm:f>
              </x14:cfvo>
              <x14:cfvo type="num">
                <xm:f>0</xm:f>
              </x14:cfvo>
              <x14:cfIcon iconSet="3Symbols" iconId="0"/>
              <x14:cfIcon iconSet="NoIcons" iconId="0"/>
              <x14:cfIcon iconSet="3Symbols" iconId="2"/>
            </x14:iconSet>
          </x14:cfRule>
          <xm:sqref>F16:F18</xm:sqref>
        </x14:conditionalFormatting>
        <x14:conditionalFormatting xmlns:xm="http://schemas.microsoft.com/office/excel/2006/main">
          <x14:cfRule type="iconSet" priority="9" id="{CAC094B8-509D-423F-8613-AA2FDC9704B6}">
            <x14:iconSet iconSet="3Symbols" showValue="0" custom="1">
              <x14:cfvo type="percent">
                <xm:f>0</xm:f>
              </x14:cfvo>
              <x14:cfvo type="num">
                <xm:f>0</xm:f>
              </x14:cfvo>
              <x14:cfvo type="num">
                <xm:f>0</xm:f>
              </x14:cfvo>
              <x14:cfIcon iconSet="3Symbols" iconId="0"/>
              <x14:cfIcon iconSet="NoIcons" iconId="0"/>
              <x14:cfIcon iconSet="3Symbols" iconId="2"/>
            </x14:iconSet>
          </x14:cfRule>
          <xm:sqref>F21</xm:sqref>
        </x14:conditionalFormatting>
        <x14:conditionalFormatting xmlns:xm="http://schemas.microsoft.com/office/excel/2006/main">
          <x14:cfRule type="iconSet" priority="8" id="{FA6B9884-B1FD-480F-8FC8-C4D05E561191}">
            <x14:iconSet iconSet="3Symbols" showValue="0" custom="1">
              <x14:cfvo type="percent">
                <xm:f>0</xm:f>
              </x14:cfvo>
              <x14:cfvo type="num">
                <xm:f>0</xm:f>
              </x14:cfvo>
              <x14:cfvo type="num">
                <xm:f>0</xm:f>
              </x14:cfvo>
              <x14:cfIcon iconSet="3Symbols" iconId="0"/>
              <x14:cfIcon iconSet="NoIcons" iconId="0"/>
              <x14:cfIcon iconSet="3Symbols" iconId="2"/>
            </x14:iconSet>
          </x14:cfRule>
          <xm:sqref>F24</xm:sqref>
        </x14:conditionalFormatting>
        <x14:conditionalFormatting xmlns:xm="http://schemas.microsoft.com/office/excel/2006/main">
          <x14:cfRule type="iconSet" priority="7" id="{DA966A7A-DCC4-42E8-9977-4F9603215657}">
            <x14:iconSet iconSet="3Symbols" showValue="0" custom="1">
              <x14:cfvo type="percent">
                <xm:f>0</xm:f>
              </x14:cfvo>
              <x14:cfvo type="num">
                <xm:f>0</xm:f>
              </x14:cfvo>
              <x14:cfvo type="num">
                <xm:f>0</xm:f>
              </x14:cfvo>
              <x14:cfIcon iconSet="3Symbols" iconId="0"/>
              <x14:cfIcon iconSet="NoIcons" iconId="0"/>
              <x14:cfIcon iconSet="3Symbols" iconId="2"/>
            </x14:iconSet>
          </x14:cfRule>
          <xm:sqref>F25</xm:sqref>
        </x14:conditionalFormatting>
        <x14:conditionalFormatting xmlns:xm="http://schemas.microsoft.com/office/excel/2006/main">
          <x14:cfRule type="iconSet" priority="6" id="{A3FD4F32-F1A8-481A-A47F-31A355571FF9}">
            <x14:iconSet iconSet="3Symbols" showValue="0" custom="1">
              <x14:cfvo type="percent">
                <xm:f>0</xm:f>
              </x14:cfvo>
              <x14:cfvo type="num">
                <xm:f>0</xm:f>
              </x14:cfvo>
              <x14:cfvo type="num">
                <xm:f>0</xm:f>
              </x14:cfvo>
              <x14:cfIcon iconSet="3Symbols" iconId="0"/>
              <x14:cfIcon iconSet="NoIcons" iconId="0"/>
              <x14:cfIcon iconSet="3Symbols" iconId="2"/>
            </x14:iconSet>
          </x14:cfRule>
          <xm:sqref>F28:F34</xm:sqref>
        </x14:conditionalFormatting>
        <x14:conditionalFormatting xmlns:xm="http://schemas.microsoft.com/office/excel/2006/main">
          <x14:cfRule type="iconSet" priority="5" id="{2C8A2A23-C7D2-4B28-87BB-91AF97522BD6}">
            <x14:iconSet iconSet="3Symbols" showValue="0" custom="1">
              <x14:cfvo type="percent">
                <xm:f>0</xm:f>
              </x14:cfvo>
              <x14:cfvo type="num">
                <xm:f>0</xm:f>
              </x14:cfvo>
              <x14:cfvo type="num">
                <xm:f>0</xm:f>
              </x14:cfvo>
              <x14:cfIcon iconSet="3Symbols" iconId="0"/>
              <x14:cfIcon iconSet="NoIcons" iconId="0"/>
              <x14:cfIcon iconSet="3Symbols" iconId="2"/>
            </x14:iconSet>
          </x14:cfRule>
          <xm:sqref>F37:F42</xm:sqref>
        </x14:conditionalFormatting>
        <x14:conditionalFormatting xmlns:xm="http://schemas.microsoft.com/office/excel/2006/main">
          <x14:cfRule type="iconSet" priority="4" id="{09AD944F-FE33-403E-9F9C-CAE889779736}">
            <x14:iconSet iconSet="3Symbols" showValue="0" custom="1">
              <x14:cfvo type="percent">
                <xm:f>0</xm:f>
              </x14:cfvo>
              <x14:cfvo type="num">
                <xm:f>0</xm:f>
              </x14:cfvo>
              <x14:cfvo type="num">
                <xm:f>0</xm:f>
              </x14:cfvo>
              <x14:cfIcon iconSet="3Symbols" iconId="0"/>
              <x14:cfIcon iconSet="NoIcons" iconId="0"/>
              <x14:cfIcon iconSet="3Symbols" iconId="2"/>
            </x14:iconSet>
          </x14:cfRule>
          <xm:sqref>F45:F46</xm:sqref>
        </x14:conditionalFormatting>
        <x14:conditionalFormatting xmlns:xm="http://schemas.microsoft.com/office/excel/2006/main">
          <x14:cfRule type="iconSet" priority="3" id="{0E969C8E-20D0-4522-B3C6-E3681012A2DF}">
            <x14:iconSet iconSet="3Symbols" showValue="0" custom="1">
              <x14:cfvo type="percent">
                <xm:f>0</xm:f>
              </x14:cfvo>
              <x14:cfvo type="num">
                <xm:f>0</xm:f>
              </x14:cfvo>
              <x14:cfvo type="num">
                <xm:f>0</xm:f>
              </x14:cfvo>
              <x14:cfIcon iconSet="3Symbols" iconId="0"/>
              <x14:cfIcon iconSet="NoIcons" iconId="0"/>
              <x14:cfIcon iconSet="3Symbols" iconId="2"/>
            </x14:iconSet>
          </x14:cfRule>
          <xm:sqref>F49:F50</xm:sqref>
        </x14:conditionalFormatting>
        <x14:conditionalFormatting xmlns:xm="http://schemas.microsoft.com/office/excel/2006/main">
          <x14:cfRule type="iconSet" priority="2" id="{1D6D5C1B-0B96-4AB4-A819-A2A44B175396}">
            <x14:iconSet iconSet="3Symbols" showValue="0" custom="1">
              <x14:cfvo type="percent">
                <xm:f>0</xm:f>
              </x14:cfvo>
              <x14:cfvo type="num">
                <xm:f>0</xm:f>
              </x14:cfvo>
              <x14:cfvo type="num">
                <xm:f>0</xm:f>
              </x14:cfvo>
              <x14:cfIcon iconSet="3Symbols" iconId="0"/>
              <x14:cfIcon iconSet="NoIcons" iconId="0"/>
              <x14:cfIcon iconSet="3Symbols" iconId="2"/>
            </x14:iconSet>
          </x14:cfRule>
          <xm:sqref>F53:F55</xm:sqref>
        </x14:conditionalFormatting>
        <x14:conditionalFormatting xmlns:xm="http://schemas.microsoft.com/office/excel/2006/main">
          <x14:cfRule type="iconSet" priority="1" id="{51F7DC11-8014-4E78-8809-8E0E3F68D681}">
            <x14:iconSet iconSet="3Symbols" showValue="0" custom="1">
              <x14:cfvo type="percent">
                <xm:f>0</xm:f>
              </x14:cfvo>
              <x14:cfvo type="num">
                <xm:f>0</xm:f>
              </x14:cfvo>
              <x14:cfvo type="num">
                <xm:f>0</xm:f>
              </x14:cfvo>
              <x14:cfIcon iconSet="3Symbols" iconId="0"/>
              <x14:cfIcon iconSet="NoIcons" iconId="0"/>
              <x14:cfIcon iconSet="3Symbols" iconId="2"/>
            </x14:iconSet>
          </x14:cfRule>
          <xm:sqref>F58:F59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AEF5C-37B5-45BC-B662-9A0B8A98A4D9}">
  <dimension ref="A1:G59"/>
  <sheetViews>
    <sheetView topLeftCell="A42" workbookViewId="0">
      <selection activeCell="F59" sqref="F59"/>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8</v>
      </c>
      <c r="B4" s="7">
        <v>46044</v>
      </c>
      <c r="C4" s="7">
        <v>46044</v>
      </c>
      <c r="D4" s="2">
        <f ca="1">_xlfn.DAYS(C4,TODAY())</f>
        <v>-90</v>
      </c>
      <c r="E4" s="7">
        <v>46044</v>
      </c>
      <c r="F4" s="3">
        <f>IF(E4&lt;&gt;"",1,-1)</f>
        <v>1</v>
      </c>
    </row>
    <row r="7" spans="1:7" x14ac:dyDescent="0.25">
      <c r="A7" s="6" t="s">
        <v>9</v>
      </c>
    </row>
    <row r="8" spans="1:7" x14ac:dyDescent="0.25">
      <c r="A8" s="5" t="s">
        <v>38</v>
      </c>
      <c r="B8" s="7">
        <v>46051</v>
      </c>
      <c r="C8" s="7">
        <v>46051</v>
      </c>
      <c r="D8" s="2">
        <f ca="1">_xlfn.DAYS(C8,TODAY())</f>
        <v>-83</v>
      </c>
      <c r="E8" s="7">
        <v>46051</v>
      </c>
      <c r="F8" s="3">
        <f>IF(E8&lt;&gt;"",1,-1)</f>
        <v>1</v>
      </c>
    </row>
    <row r="10" spans="1:7" x14ac:dyDescent="0.25">
      <c r="A10" s="10" t="s">
        <v>10</v>
      </c>
      <c r="B10" s="11"/>
      <c r="C10" s="11"/>
      <c r="D10" s="11"/>
      <c r="E10" s="11"/>
      <c r="F10" s="11"/>
    </row>
    <row r="11" spans="1:7" x14ac:dyDescent="0.25">
      <c r="A11" s="11" t="s">
        <v>39</v>
      </c>
      <c r="B11" s="12">
        <v>46056</v>
      </c>
      <c r="C11" s="12">
        <v>46056</v>
      </c>
      <c r="D11" s="9">
        <v>-6</v>
      </c>
      <c r="E11" s="12">
        <v>46056</v>
      </c>
      <c r="F11" s="3">
        <f>IF(E11&lt;&gt;"",1,-1)</f>
        <v>1</v>
      </c>
    </row>
    <row r="12" spans="1:7" x14ac:dyDescent="0.25">
      <c r="A12" s="11" t="s">
        <v>40</v>
      </c>
      <c r="B12" s="12">
        <v>46056</v>
      </c>
      <c r="C12" s="12">
        <v>46063</v>
      </c>
      <c r="D12" s="15">
        <v>1</v>
      </c>
      <c r="E12" s="11"/>
      <c r="F12" s="3">
        <f>IF(E12&lt;&gt;"",1,-1)</f>
        <v>-1</v>
      </c>
    </row>
    <row r="14" spans="1:7" x14ac:dyDescent="0.25">
      <c r="A14" s="38" t="s">
        <v>13</v>
      </c>
    </row>
    <row r="15" spans="1:7" x14ac:dyDescent="0.25">
      <c r="A15" s="5" t="s">
        <v>41</v>
      </c>
      <c r="B15" s="7">
        <v>46062</v>
      </c>
      <c r="C15" s="7">
        <v>46062</v>
      </c>
      <c r="D15" s="2">
        <f ca="1">_xlfn.DAYS(C15,TODAY())</f>
        <v>-72</v>
      </c>
      <c r="E15" s="7">
        <v>46062</v>
      </c>
      <c r="F15" s="24">
        <f>IF(E15&lt;&gt;"",1,-1)</f>
        <v>1</v>
      </c>
    </row>
    <row r="17" spans="1:6" x14ac:dyDescent="0.25">
      <c r="A17" s="46" t="s">
        <v>71</v>
      </c>
      <c r="B17" s="11"/>
      <c r="C17" s="11"/>
      <c r="D17" s="11"/>
      <c r="E17" s="11"/>
      <c r="F17" s="11"/>
    </row>
    <row r="18" spans="1:6" x14ac:dyDescent="0.25">
      <c r="A18" s="11" t="s">
        <v>41</v>
      </c>
      <c r="B18" s="12">
        <v>46072</v>
      </c>
      <c r="C18" s="12">
        <v>46072</v>
      </c>
      <c r="D18" s="11">
        <v>-9</v>
      </c>
      <c r="E18" s="12">
        <v>46072</v>
      </c>
      <c r="F18" s="24">
        <f>IF(E18&lt;&gt;"",1,-1)</f>
        <v>1</v>
      </c>
    </row>
    <row r="19" spans="1:6" x14ac:dyDescent="0.25">
      <c r="A19" s="11" t="s">
        <v>72</v>
      </c>
      <c r="B19" s="12">
        <v>46072</v>
      </c>
      <c r="C19" s="12">
        <v>46081</v>
      </c>
      <c r="D19" s="2">
        <f ca="1">_xlfn.DAYS(C19,TODAY())</f>
        <v>-53</v>
      </c>
      <c r="E19" s="11"/>
      <c r="F19" s="47">
        <v>-1</v>
      </c>
    </row>
    <row r="20" spans="1:6" x14ac:dyDescent="0.25">
      <c r="A20" s="11" t="s">
        <v>73</v>
      </c>
      <c r="B20" s="12">
        <v>46072</v>
      </c>
      <c r="C20" s="12">
        <v>46081</v>
      </c>
      <c r="D20" s="2">
        <f t="shared" ref="D20:D22" ca="1" si="0">_xlfn.DAYS(C20,TODAY())</f>
        <v>-53</v>
      </c>
      <c r="E20" s="11"/>
      <c r="F20" s="47">
        <v>-1</v>
      </c>
    </row>
    <row r="21" spans="1:6" x14ac:dyDescent="0.25">
      <c r="A21" s="11" t="s">
        <v>74</v>
      </c>
      <c r="B21" s="12">
        <v>46072</v>
      </c>
      <c r="C21" s="12">
        <v>46081</v>
      </c>
      <c r="D21" s="2">
        <f t="shared" ca="1" si="0"/>
        <v>-53</v>
      </c>
      <c r="E21" s="11"/>
      <c r="F21" s="47">
        <v>-1</v>
      </c>
    </row>
    <row r="22" spans="1:6" x14ac:dyDescent="0.25">
      <c r="A22" s="11" t="s">
        <v>75</v>
      </c>
      <c r="B22" s="12">
        <v>46072</v>
      </c>
      <c r="C22" s="12">
        <v>46081</v>
      </c>
      <c r="D22" s="2">
        <f t="shared" ca="1" si="0"/>
        <v>-53</v>
      </c>
      <c r="E22" s="11"/>
      <c r="F22" s="47">
        <v>-1</v>
      </c>
    </row>
    <row r="23" spans="1:6" x14ac:dyDescent="0.25">
      <c r="A23" s="11"/>
      <c r="B23" s="11"/>
      <c r="C23" s="11"/>
      <c r="D23" s="11"/>
      <c r="E23" s="11"/>
      <c r="F23" s="11"/>
    </row>
    <row r="24" spans="1:6" x14ac:dyDescent="0.25">
      <c r="A24" s="46" t="s">
        <v>62</v>
      </c>
      <c r="B24" s="11"/>
      <c r="C24" s="11"/>
      <c r="D24" s="11"/>
      <c r="E24" s="11"/>
      <c r="F24" s="11"/>
    </row>
    <row r="25" spans="1:6" x14ac:dyDescent="0.25">
      <c r="A25" s="11" t="s">
        <v>41</v>
      </c>
      <c r="B25" s="12">
        <v>46079</v>
      </c>
      <c r="C25" s="12">
        <v>46079</v>
      </c>
      <c r="D25" s="11">
        <v>-2</v>
      </c>
      <c r="E25" s="12">
        <v>46079</v>
      </c>
      <c r="F25" s="24">
        <f>IF(E25&lt;&gt;"",1,-1)</f>
        <v>1</v>
      </c>
    </row>
    <row r="26" spans="1:6" x14ac:dyDescent="0.25">
      <c r="A26" s="11" t="s">
        <v>72</v>
      </c>
      <c r="B26" s="12">
        <v>46072</v>
      </c>
      <c r="C26" s="12">
        <v>46081</v>
      </c>
      <c r="D26" s="11">
        <v>0</v>
      </c>
      <c r="E26" s="11"/>
      <c r="F26" s="24">
        <f t="shared" ref="F26:F29" si="1">IF(E26&lt;&gt;"",1,-1)</f>
        <v>-1</v>
      </c>
    </row>
    <row r="27" spans="1:6" x14ac:dyDescent="0.25">
      <c r="A27" s="11" t="s">
        <v>73</v>
      </c>
      <c r="B27" s="12">
        <v>46072</v>
      </c>
      <c r="C27" s="12">
        <v>46081</v>
      </c>
      <c r="D27" s="11">
        <v>0</v>
      </c>
      <c r="E27" s="11"/>
      <c r="F27" s="24">
        <f t="shared" si="1"/>
        <v>-1</v>
      </c>
    </row>
    <row r="28" spans="1:6" x14ac:dyDescent="0.25">
      <c r="A28" s="11" t="s">
        <v>74</v>
      </c>
      <c r="B28" s="12">
        <v>46072</v>
      </c>
      <c r="C28" s="12">
        <v>46081</v>
      </c>
      <c r="D28" s="11">
        <v>0</v>
      </c>
      <c r="E28" s="11"/>
      <c r="F28" s="24">
        <f t="shared" si="1"/>
        <v>-1</v>
      </c>
    </row>
    <row r="29" spans="1:6" x14ac:dyDescent="0.25">
      <c r="A29" s="11" t="s">
        <v>75</v>
      </c>
      <c r="B29" s="12">
        <v>46072</v>
      </c>
      <c r="C29" s="12">
        <v>46081</v>
      </c>
      <c r="D29" s="11">
        <v>0</v>
      </c>
      <c r="E29" s="11"/>
      <c r="F29" s="24">
        <f t="shared" si="1"/>
        <v>-1</v>
      </c>
    </row>
    <row r="31" spans="1:6" x14ac:dyDescent="0.25">
      <c r="A31" s="46" t="s">
        <v>113</v>
      </c>
      <c r="B31" s="11"/>
      <c r="C31" s="11"/>
      <c r="D31" s="11"/>
      <c r="E31" s="11"/>
      <c r="F31" s="11"/>
    </row>
    <row r="32" spans="1:6" x14ac:dyDescent="0.25">
      <c r="A32" s="11" t="s">
        <v>114</v>
      </c>
      <c r="B32" s="12">
        <v>46086</v>
      </c>
      <c r="C32" s="12">
        <v>46086</v>
      </c>
      <c r="D32" s="11">
        <v>-12</v>
      </c>
      <c r="E32" s="11"/>
      <c r="F32" s="24">
        <f t="shared" ref="F32:F36" si="2">IF(E32&lt;&gt;"",1,-1)</f>
        <v>-1</v>
      </c>
    </row>
    <row r="33" spans="1:6" x14ac:dyDescent="0.25">
      <c r="A33" s="11" t="s">
        <v>72</v>
      </c>
      <c r="B33" s="12">
        <v>46072</v>
      </c>
      <c r="C33" s="12">
        <v>46090</v>
      </c>
      <c r="D33" s="11">
        <v>-8</v>
      </c>
      <c r="E33" s="12">
        <v>46088</v>
      </c>
      <c r="F33" s="24">
        <f t="shared" si="2"/>
        <v>1</v>
      </c>
    </row>
    <row r="34" spans="1:6" x14ac:dyDescent="0.25">
      <c r="A34" s="11" t="s">
        <v>73</v>
      </c>
      <c r="B34" s="12">
        <v>46072</v>
      </c>
      <c r="C34" s="12">
        <v>46090</v>
      </c>
      <c r="D34" s="11">
        <v>-8</v>
      </c>
      <c r="E34" s="12">
        <v>46088</v>
      </c>
      <c r="F34" s="24">
        <f t="shared" si="2"/>
        <v>1</v>
      </c>
    </row>
    <row r="35" spans="1:6" x14ac:dyDescent="0.25">
      <c r="A35" s="11" t="s">
        <v>74</v>
      </c>
      <c r="B35" s="12">
        <v>46072</v>
      </c>
      <c r="C35" s="12">
        <v>46090</v>
      </c>
      <c r="D35" s="11">
        <v>-8</v>
      </c>
      <c r="E35" s="12">
        <v>46088</v>
      </c>
      <c r="F35" s="24">
        <f t="shared" si="2"/>
        <v>1</v>
      </c>
    </row>
    <row r="36" spans="1:6" x14ac:dyDescent="0.25">
      <c r="A36" s="11" t="s">
        <v>75</v>
      </c>
      <c r="B36" s="12">
        <v>46072</v>
      </c>
      <c r="C36" s="12">
        <v>46090</v>
      </c>
      <c r="D36" s="11">
        <v>-8</v>
      </c>
      <c r="E36" s="12">
        <v>46088</v>
      </c>
      <c r="F36" s="24">
        <f t="shared" si="2"/>
        <v>1</v>
      </c>
    </row>
    <row r="38" spans="1:6" x14ac:dyDescent="0.25">
      <c r="A38" s="46" t="s">
        <v>131</v>
      </c>
      <c r="B38" s="11"/>
      <c r="C38" s="11"/>
      <c r="D38" s="11"/>
      <c r="E38" s="11"/>
      <c r="F38" s="11"/>
    </row>
    <row r="39" spans="1:6" x14ac:dyDescent="0.25">
      <c r="A39" s="11" t="s">
        <v>41</v>
      </c>
      <c r="B39" s="12">
        <v>46091</v>
      </c>
      <c r="C39" s="12">
        <v>46091</v>
      </c>
      <c r="D39" s="11">
        <v>-25</v>
      </c>
      <c r="E39" s="12">
        <v>46091</v>
      </c>
      <c r="F39" s="24">
        <f t="shared" ref="F39:F41" si="3">IF(E39&lt;&gt;"",1,-1)</f>
        <v>1</v>
      </c>
    </row>
    <row r="40" spans="1:6" x14ac:dyDescent="0.25">
      <c r="A40" s="11" t="s">
        <v>179</v>
      </c>
      <c r="B40" s="12">
        <v>46093</v>
      </c>
      <c r="C40" s="12">
        <v>46093</v>
      </c>
      <c r="D40" s="11">
        <v>-23</v>
      </c>
      <c r="E40" s="12">
        <v>46112</v>
      </c>
      <c r="F40" s="24">
        <f t="shared" si="3"/>
        <v>1</v>
      </c>
    </row>
    <row r="41" spans="1:6" x14ac:dyDescent="0.25">
      <c r="A41" s="11" t="s">
        <v>183</v>
      </c>
      <c r="B41" s="12">
        <v>46093</v>
      </c>
      <c r="C41" s="12">
        <v>46093</v>
      </c>
      <c r="D41" s="11">
        <v>-23</v>
      </c>
      <c r="E41" s="11"/>
      <c r="F41" s="24">
        <f t="shared" si="3"/>
        <v>-1</v>
      </c>
    </row>
    <row r="42" spans="1:6" x14ac:dyDescent="0.25">
      <c r="A42" s="11"/>
      <c r="B42" s="11"/>
      <c r="C42" s="11"/>
      <c r="D42" s="11"/>
      <c r="E42" s="11"/>
      <c r="F42" s="11"/>
    </row>
    <row r="43" spans="1:6" x14ac:dyDescent="0.25">
      <c r="A43" s="46" t="s">
        <v>184</v>
      </c>
      <c r="B43" s="11"/>
      <c r="C43" s="11"/>
      <c r="D43" s="11"/>
      <c r="E43" s="11"/>
      <c r="F43" s="11"/>
    </row>
    <row r="44" spans="1:6" x14ac:dyDescent="0.25">
      <c r="A44" s="11" t="s">
        <v>41</v>
      </c>
      <c r="B44" s="12">
        <v>46100</v>
      </c>
      <c r="C44" s="12">
        <v>46100</v>
      </c>
      <c r="D44" s="11">
        <v>-16</v>
      </c>
      <c r="E44" s="12">
        <v>46100</v>
      </c>
      <c r="F44" s="24">
        <f t="shared" ref="F44:F46" si="4">IF(E44&lt;&gt;"",1,-1)</f>
        <v>1</v>
      </c>
    </row>
    <row r="45" spans="1:6" x14ac:dyDescent="0.25">
      <c r="A45" s="11" t="s">
        <v>179</v>
      </c>
      <c r="B45" s="12">
        <v>46093</v>
      </c>
      <c r="C45" s="12">
        <v>46093</v>
      </c>
      <c r="D45" s="11">
        <v>-23</v>
      </c>
      <c r="E45" s="12">
        <v>46112</v>
      </c>
      <c r="F45" s="24">
        <f t="shared" si="4"/>
        <v>1</v>
      </c>
    </row>
    <row r="46" spans="1:6" x14ac:dyDescent="0.25">
      <c r="A46" s="11" t="s">
        <v>183</v>
      </c>
      <c r="B46" s="12">
        <v>46093</v>
      </c>
      <c r="C46" s="12">
        <v>46093</v>
      </c>
      <c r="D46" s="11">
        <v>-23</v>
      </c>
      <c r="E46" s="11"/>
      <c r="F46" s="24">
        <f t="shared" si="4"/>
        <v>-1</v>
      </c>
    </row>
    <row r="47" spans="1:6" x14ac:dyDescent="0.25">
      <c r="A47" s="11"/>
      <c r="B47" s="11"/>
      <c r="C47" s="11"/>
      <c r="D47" s="11"/>
      <c r="E47" s="11"/>
      <c r="F47" s="11"/>
    </row>
    <row r="48" spans="1:6" x14ac:dyDescent="0.25">
      <c r="A48" s="46" t="s">
        <v>178</v>
      </c>
      <c r="B48" s="11"/>
      <c r="C48" s="11"/>
      <c r="D48" s="11"/>
      <c r="E48" s="11"/>
      <c r="F48" s="11"/>
    </row>
    <row r="49" spans="1:6" x14ac:dyDescent="0.25">
      <c r="A49" s="11" t="s">
        <v>41</v>
      </c>
      <c r="B49" s="12">
        <v>46100</v>
      </c>
      <c r="C49" s="12">
        <v>46100</v>
      </c>
      <c r="D49" s="11">
        <v>-16</v>
      </c>
      <c r="E49" s="12">
        <v>46100</v>
      </c>
      <c r="F49" s="24">
        <f t="shared" ref="F49:F51" si="5">IF(E49&lt;&gt;"",1,-1)</f>
        <v>1</v>
      </c>
    </row>
    <row r="50" spans="1:6" x14ac:dyDescent="0.25">
      <c r="A50" s="11" t="s">
        <v>179</v>
      </c>
      <c r="B50" s="12">
        <v>46093</v>
      </c>
      <c r="C50" s="12">
        <v>46093</v>
      </c>
      <c r="D50" s="11">
        <v>-23</v>
      </c>
      <c r="E50" s="12">
        <v>46112</v>
      </c>
      <c r="F50" s="24">
        <f t="shared" si="5"/>
        <v>1</v>
      </c>
    </row>
    <row r="51" spans="1:6" x14ac:dyDescent="0.25">
      <c r="A51" s="11" t="s">
        <v>180</v>
      </c>
      <c r="B51" s="12">
        <v>46110</v>
      </c>
      <c r="C51" s="12">
        <v>46114</v>
      </c>
      <c r="D51" s="11">
        <v>-2</v>
      </c>
      <c r="E51" s="11"/>
      <c r="F51" s="24">
        <f t="shared" si="5"/>
        <v>-1</v>
      </c>
    </row>
    <row r="52" spans="1:6" x14ac:dyDescent="0.25">
      <c r="A52" s="11"/>
      <c r="B52" s="11"/>
      <c r="C52" s="11"/>
      <c r="D52" s="11"/>
      <c r="E52" s="11"/>
      <c r="F52" s="11"/>
    </row>
    <row r="53" spans="1:6" x14ac:dyDescent="0.25">
      <c r="A53" s="46" t="s">
        <v>181</v>
      </c>
      <c r="B53" s="11"/>
      <c r="C53" s="11"/>
      <c r="D53" s="11"/>
      <c r="E53" s="11"/>
      <c r="F53" s="11"/>
    </row>
    <row r="54" spans="1:6" x14ac:dyDescent="0.25">
      <c r="A54" s="11" t="s">
        <v>41</v>
      </c>
      <c r="B54" s="12">
        <v>46100</v>
      </c>
      <c r="C54" s="12">
        <v>46100</v>
      </c>
      <c r="D54" s="11">
        <v>-34</v>
      </c>
      <c r="E54" s="12">
        <v>46100</v>
      </c>
      <c r="F54" s="24">
        <f t="shared" ref="F54:F56" si="6">IF(E54&lt;&gt;"",1,-1)</f>
        <v>1</v>
      </c>
    </row>
    <row r="55" spans="1:6" ht="30" x14ac:dyDescent="0.25">
      <c r="A55" s="50" t="s">
        <v>182</v>
      </c>
      <c r="B55" s="12">
        <v>46093</v>
      </c>
      <c r="C55" s="12">
        <v>46093</v>
      </c>
      <c r="D55" s="11">
        <v>-41</v>
      </c>
      <c r="E55" s="12">
        <v>46112</v>
      </c>
      <c r="F55" s="24">
        <f t="shared" si="6"/>
        <v>1</v>
      </c>
    </row>
    <row r="56" spans="1:6" x14ac:dyDescent="0.25">
      <c r="A56" s="11" t="s">
        <v>180</v>
      </c>
      <c r="B56" s="12">
        <v>46110</v>
      </c>
      <c r="C56" s="12">
        <v>46114</v>
      </c>
      <c r="D56" s="11">
        <v>-20</v>
      </c>
      <c r="E56" s="12">
        <v>46114</v>
      </c>
      <c r="F56" s="24">
        <f t="shared" si="6"/>
        <v>1</v>
      </c>
    </row>
    <row r="57" spans="1:6" x14ac:dyDescent="0.25">
      <c r="A57" s="11"/>
      <c r="B57" s="11"/>
      <c r="C57" s="11"/>
      <c r="D57" s="11"/>
      <c r="E57" s="11"/>
      <c r="F57" s="47"/>
    </row>
    <row r="58" spans="1:6" x14ac:dyDescent="0.25">
      <c r="A58" s="46" t="s">
        <v>255</v>
      </c>
      <c r="B58" s="11"/>
      <c r="C58" s="11"/>
      <c r="D58" s="11"/>
      <c r="E58" s="11"/>
      <c r="F58" s="47"/>
    </row>
    <row r="59" spans="1:6" x14ac:dyDescent="0.25">
      <c r="A59" s="11" t="s">
        <v>256</v>
      </c>
      <c r="B59" s="12">
        <v>46117</v>
      </c>
      <c r="C59" s="12">
        <v>46127</v>
      </c>
      <c r="D59" s="11">
        <v>-7</v>
      </c>
      <c r="E59" s="12">
        <v>46126</v>
      </c>
      <c r="F59" s="24">
        <f t="shared" ref="F59" si="7">IF(E59&lt;&gt;"",1,-1)</f>
        <v>1</v>
      </c>
    </row>
  </sheetData>
  <sheetProtection insertColumns="0" insertRows="0" deleteColumns="0" deleteRows="0" sort="0"/>
  <conditionalFormatting sqref="D4">
    <cfRule type="expression" dxfId="55" priority="24" stopIfTrue="1">
      <formula>E4&lt;&gt;""</formula>
    </cfRule>
    <cfRule type="cellIs" dxfId="54" priority="25" operator="lessThan">
      <formula>0</formula>
    </cfRule>
    <cfRule type="cellIs" dxfId="53" priority="26" operator="equal">
      <formula>0</formula>
    </cfRule>
    <cfRule type="cellIs" dxfId="52" priority="27" operator="greaterThan">
      <formula>0</formula>
    </cfRule>
  </conditionalFormatting>
  <conditionalFormatting sqref="D8">
    <cfRule type="expression" dxfId="51" priority="20" stopIfTrue="1">
      <formula>E8&lt;&gt;""</formula>
    </cfRule>
    <cfRule type="cellIs" dxfId="50" priority="21" operator="lessThan">
      <formula>0</formula>
    </cfRule>
    <cfRule type="cellIs" dxfId="49" priority="22" operator="equal">
      <formula>0</formula>
    </cfRule>
    <cfRule type="cellIs" dxfId="48" priority="23"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8" id="{F0DDABFB-B2EC-4EE4-BA39-AD99CCDEA58B}">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19" id="{243766C2-2D51-411B-9761-C8B2F24BDD69}">
            <x14:iconSet iconSet="3Symbols" showValue="0" custom="1">
              <x14:cfvo type="percent">
                <xm:f>0</xm:f>
              </x14:cfvo>
              <x14:cfvo type="num">
                <xm:f>0</xm:f>
              </x14:cfvo>
              <x14:cfvo type="num">
                <xm:f>0</xm:f>
              </x14:cfvo>
              <x14:cfIcon iconSet="3Symbols" iconId="0"/>
              <x14:cfIcon iconSet="NoIcons" iconId="0"/>
              <x14:cfIcon iconSet="3Symbols" iconId="2"/>
            </x14:iconSet>
          </x14:cfRule>
          <xm:sqref>F8</xm:sqref>
        </x14:conditionalFormatting>
        <x14:conditionalFormatting xmlns:xm="http://schemas.microsoft.com/office/excel/2006/main">
          <x14:cfRule type="iconSet" priority="17" id="{37B82629-C423-4C59-B446-1F249FB52A31}">
            <x14:iconSet iconSet="3Symbols" showValue="0" custom="1">
              <x14:cfvo type="percent">
                <xm:f>0</xm:f>
              </x14:cfvo>
              <x14:cfvo type="num">
                <xm:f>0</xm:f>
              </x14:cfvo>
              <x14:cfvo type="num">
                <xm:f>0</xm:f>
              </x14:cfvo>
              <x14:cfIcon iconSet="3Symbols" iconId="0"/>
              <x14:cfIcon iconSet="NoIcons" iconId="0"/>
              <x14:cfIcon iconSet="3Symbols" iconId="2"/>
            </x14:iconSet>
          </x14:cfRule>
          <xm:sqref>F11</xm:sqref>
        </x14:conditionalFormatting>
        <x14:conditionalFormatting xmlns:xm="http://schemas.microsoft.com/office/excel/2006/main">
          <x14:cfRule type="iconSet" priority="16" id="{4A31451A-1165-48CB-B9EE-14745A744B47}">
            <x14:iconSet iconSet="3Symbols" showValue="0" custom="1">
              <x14:cfvo type="percent">
                <xm:f>0</xm:f>
              </x14:cfvo>
              <x14:cfvo type="num">
                <xm:f>0</xm:f>
              </x14:cfvo>
              <x14:cfvo type="num">
                <xm:f>0</xm:f>
              </x14:cfvo>
              <x14:cfIcon iconSet="3Symbols" iconId="0"/>
              <x14:cfIcon iconSet="NoIcons" iconId="0"/>
              <x14:cfIcon iconSet="3Symbols" iconId="2"/>
            </x14:iconSet>
          </x14:cfRule>
          <xm:sqref>F12</xm:sqref>
        </x14:conditionalFormatting>
        <x14:conditionalFormatting xmlns:xm="http://schemas.microsoft.com/office/excel/2006/main">
          <x14:cfRule type="iconSet" priority="15" id="{70BF3653-5BE9-4326-A147-49FDE91A0B8A}">
            <x14:iconSet iconSet="3Symbols" showValue="0" custom="1">
              <x14:cfvo type="percent">
                <xm:f>0</xm:f>
              </x14:cfvo>
              <x14:cfvo type="num">
                <xm:f>0</xm:f>
              </x14:cfvo>
              <x14:cfvo type="num">
                <xm:f>0</xm:f>
              </x14:cfvo>
              <x14:cfIcon iconSet="3Symbols" iconId="0"/>
              <x14:cfIcon iconSet="NoIcons" iconId="0"/>
              <x14:cfIcon iconSet="3Symbols" iconId="2"/>
            </x14:iconSet>
          </x14:cfRule>
          <xm:sqref>F15</xm:sqref>
        </x14:conditionalFormatting>
        <x14:conditionalFormatting xmlns:xm="http://schemas.microsoft.com/office/excel/2006/main">
          <x14:cfRule type="iconSet" priority="9" id="{5990BA56-338A-4E4E-A047-86D48F7F4EF7}">
            <x14:iconSet iconSet="3Symbols" showValue="0" custom="1">
              <x14:cfvo type="percent">
                <xm:f>0</xm:f>
              </x14:cfvo>
              <x14:cfvo type="num">
                <xm:f>0</xm:f>
              </x14:cfvo>
              <x14:cfvo type="num">
                <xm:f>0</xm:f>
              </x14:cfvo>
              <x14:cfIcon iconSet="3Symbols" iconId="0"/>
              <x14:cfIcon iconSet="NoIcons" iconId="0"/>
              <x14:cfIcon iconSet="3Symbols" iconId="2"/>
            </x14:iconSet>
          </x14:cfRule>
          <xm:sqref>F18</xm:sqref>
        </x14:conditionalFormatting>
        <x14:conditionalFormatting xmlns:xm="http://schemas.microsoft.com/office/excel/2006/main">
          <x14:cfRule type="iconSet" priority="8" id="{8BAFFDEA-03A0-4DE0-BFB2-43F6F0434106}">
            <x14:iconSet iconSet="3Symbols" showValue="0" custom="1">
              <x14:cfvo type="percent">
                <xm:f>0</xm:f>
              </x14:cfvo>
              <x14:cfvo type="num">
                <xm:f>0</xm:f>
              </x14:cfvo>
              <x14:cfvo type="num">
                <xm:f>0</xm:f>
              </x14:cfvo>
              <x14:cfIcon iconSet="3Symbols" iconId="0"/>
              <x14:cfIcon iconSet="NoIcons" iconId="0"/>
              <x14:cfIcon iconSet="3Symbols" iconId="2"/>
            </x14:iconSet>
          </x14:cfRule>
          <xm:sqref>F25:F29</xm:sqref>
        </x14:conditionalFormatting>
        <x14:conditionalFormatting xmlns:xm="http://schemas.microsoft.com/office/excel/2006/main">
          <x14:cfRule type="iconSet" priority="7" id="{EAD49410-FBDB-4A32-A51C-2FDB69D6454E}">
            <x14:iconSet iconSet="3Symbols" showValue="0" custom="1">
              <x14:cfvo type="percent">
                <xm:f>0</xm:f>
              </x14:cfvo>
              <x14:cfvo type="num">
                <xm:f>0</xm:f>
              </x14:cfvo>
              <x14:cfvo type="num">
                <xm:f>0</xm:f>
              </x14:cfvo>
              <x14:cfIcon iconSet="3Symbols" iconId="0"/>
              <x14:cfIcon iconSet="NoIcons" iconId="0"/>
              <x14:cfIcon iconSet="3Symbols" iconId="2"/>
            </x14:iconSet>
          </x14:cfRule>
          <xm:sqref>F32:F36</xm:sqref>
        </x14:conditionalFormatting>
        <x14:conditionalFormatting xmlns:xm="http://schemas.microsoft.com/office/excel/2006/main">
          <x14:cfRule type="iconSet" priority="6" id="{785080D3-AAF2-43A6-9394-BC5C555AF224}">
            <x14:iconSet iconSet="3Symbols" showValue="0" custom="1">
              <x14:cfvo type="percent">
                <xm:f>0</xm:f>
              </x14:cfvo>
              <x14:cfvo type="num">
                <xm:f>0</xm:f>
              </x14:cfvo>
              <x14:cfvo type="num">
                <xm:f>0</xm:f>
              </x14:cfvo>
              <x14:cfIcon iconSet="3Symbols" iconId="0"/>
              <x14:cfIcon iconSet="NoIcons" iconId="0"/>
              <x14:cfIcon iconSet="3Symbols" iconId="2"/>
            </x14:iconSet>
          </x14:cfRule>
          <xm:sqref>F39:F41</xm:sqref>
        </x14:conditionalFormatting>
        <x14:conditionalFormatting xmlns:xm="http://schemas.microsoft.com/office/excel/2006/main">
          <x14:cfRule type="iconSet" priority="5" id="{FADE4AEA-9EE1-4DFE-BBA4-E2CDC5FECBC5}">
            <x14:iconSet iconSet="3Symbols" showValue="0" custom="1">
              <x14:cfvo type="percent">
                <xm:f>0</xm:f>
              </x14:cfvo>
              <x14:cfvo type="num">
                <xm:f>0</xm:f>
              </x14:cfvo>
              <x14:cfvo type="num">
                <xm:f>0</xm:f>
              </x14:cfvo>
              <x14:cfIcon iconSet="3Symbols" iconId="0"/>
              <x14:cfIcon iconSet="NoIcons" iconId="0"/>
              <x14:cfIcon iconSet="3Symbols" iconId="2"/>
            </x14:iconSet>
          </x14:cfRule>
          <xm:sqref>F44:F46</xm:sqref>
        </x14:conditionalFormatting>
        <x14:conditionalFormatting xmlns:xm="http://schemas.microsoft.com/office/excel/2006/main">
          <x14:cfRule type="iconSet" priority="4" id="{4E979C2D-9DDD-4870-BBD3-9B7F866D11A5}">
            <x14:iconSet iconSet="3Symbols" showValue="0" custom="1">
              <x14:cfvo type="percent">
                <xm:f>0</xm:f>
              </x14:cfvo>
              <x14:cfvo type="num">
                <xm:f>0</xm:f>
              </x14:cfvo>
              <x14:cfvo type="num">
                <xm:f>0</xm:f>
              </x14:cfvo>
              <x14:cfIcon iconSet="3Symbols" iconId="0"/>
              <x14:cfIcon iconSet="NoIcons" iconId="0"/>
              <x14:cfIcon iconSet="3Symbols" iconId="2"/>
            </x14:iconSet>
          </x14:cfRule>
          <xm:sqref>F49:F51</xm:sqref>
        </x14:conditionalFormatting>
        <x14:conditionalFormatting xmlns:xm="http://schemas.microsoft.com/office/excel/2006/main">
          <x14:cfRule type="iconSet" priority="2" id="{66B012F7-B307-4D4E-BB6E-B4B21EDE2636}">
            <x14:iconSet iconSet="3Symbols" showValue="0" custom="1">
              <x14:cfvo type="percent">
                <xm:f>0</xm:f>
              </x14:cfvo>
              <x14:cfvo type="num">
                <xm:f>0</xm:f>
              </x14:cfvo>
              <x14:cfvo type="num">
                <xm:f>0</xm:f>
              </x14:cfvo>
              <x14:cfIcon iconSet="3Symbols" iconId="0"/>
              <x14:cfIcon iconSet="NoIcons" iconId="0"/>
              <x14:cfIcon iconSet="3Symbols" iconId="2"/>
            </x14:iconSet>
          </x14:cfRule>
          <xm:sqref>F54:F56</xm:sqref>
        </x14:conditionalFormatting>
        <x14:conditionalFormatting xmlns:xm="http://schemas.microsoft.com/office/excel/2006/main">
          <x14:cfRule type="iconSet" priority="1" id="{22DBE569-C02A-4A26-B715-6CEF1550C5ED}">
            <x14:iconSet iconSet="3Symbols" showValue="0" custom="1">
              <x14:cfvo type="percent">
                <xm:f>0</xm:f>
              </x14:cfvo>
              <x14:cfvo type="num">
                <xm:f>0</xm:f>
              </x14:cfvo>
              <x14:cfvo type="num">
                <xm:f>0</xm:f>
              </x14:cfvo>
              <x14:cfIcon iconSet="3Symbols" iconId="0"/>
              <x14:cfIcon iconSet="NoIcons" iconId="0"/>
              <x14:cfIcon iconSet="3Symbols" iconId="2"/>
            </x14:iconSet>
          </x14:cfRule>
          <xm:sqref>F59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CD80-F8C5-4F69-84CF-64081F053977}">
  <dimension ref="A1:G67"/>
  <sheetViews>
    <sheetView tabSelected="1" workbookViewId="0">
      <pane ySplit="1" topLeftCell="A55" activePane="bottomLeft" state="frozen"/>
      <selection pane="bottomLeft" activeCell="G66" sqref="G66"/>
    </sheetView>
  </sheetViews>
  <sheetFormatPr defaultRowHeight="15" x14ac:dyDescent="0.25"/>
  <cols>
    <col min="1" max="1" width="58"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38</v>
      </c>
      <c r="B4" s="7">
        <v>46044</v>
      </c>
      <c r="C4" s="7">
        <v>46044</v>
      </c>
      <c r="D4" s="2">
        <f ca="1">_xlfn.DAYS(C4,TODAY())</f>
        <v>-90</v>
      </c>
      <c r="E4" s="7"/>
      <c r="F4" s="3">
        <f>IF(E4&lt;&gt;"",1,-1)</f>
        <v>-1</v>
      </c>
      <c r="G4" s="5" t="s">
        <v>42</v>
      </c>
    </row>
    <row r="6" spans="1:7" x14ac:dyDescent="0.25">
      <c r="A6" s="6" t="s">
        <v>9</v>
      </c>
    </row>
    <row r="7" spans="1:7" x14ac:dyDescent="0.25">
      <c r="A7" s="5" t="s">
        <v>43</v>
      </c>
      <c r="B7" s="7">
        <v>46051</v>
      </c>
      <c r="C7" s="7">
        <v>46051</v>
      </c>
      <c r="D7" s="2">
        <f ca="1">_xlfn.DAYS(C7,TODAY())</f>
        <v>-83</v>
      </c>
      <c r="E7" s="7">
        <v>46051</v>
      </c>
      <c r="F7" s="3">
        <f>IF(E7&lt;&gt;"",1,-1)</f>
        <v>1</v>
      </c>
    </row>
    <row r="8" spans="1:7" x14ac:dyDescent="0.25">
      <c r="A8" s="5" t="s">
        <v>44</v>
      </c>
      <c r="B8" s="7">
        <v>46051</v>
      </c>
      <c r="C8" s="7">
        <v>46051</v>
      </c>
      <c r="D8" s="2">
        <f ca="1">_xlfn.DAYS(C8,TODAY())</f>
        <v>-83</v>
      </c>
      <c r="E8" s="7">
        <v>46051</v>
      </c>
      <c r="F8" s="3">
        <f>IF(E8&lt;&gt;"",1,-1)</f>
        <v>1</v>
      </c>
    </row>
    <row r="9" spans="1:7" x14ac:dyDescent="0.25">
      <c r="A9" s="5" t="s">
        <v>45</v>
      </c>
      <c r="B9" s="7">
        <v>46051</v>
      </c>
      <c r="C9" s="7">
        <v>46055</v>
      </c>
      <c r="D9" s="2">
        <f ca="1">_xlfn.DAYS(C9,TODAY())</f>
        <v>-79</v>
      </c>
      <c r="E9" s="7">
        <v>46055</v>
      </c>
      <c r="F9" s="3">
        <f>IF(E9&lt;&gt;"",1,-1)</f>
        <v>1</v>
      </c>
    </row>
    <row r="11" spans="1:7" x14ac:dyDescent="0.25">
      <c r="A11" s="5" t="s">
        <v>46</v>
      </c>
    </row>
    <row r="12" spans="1:7" x14ac:dyDescent="0.25">
      <c r="A12" s="5" t="s">
        <v>38</v>
      </c>
      <c r="B12" s="7">
        <v>46056</v>
      </c>
      <c r="C12" s="7">
        <v>46056</v>
      </c>
      <c r="D12" s="2">
        <f ca="1">_xlfn.DAYS(C12,TODAY())</f>
        <v>-78</v>
      </c>
      <c r="E12" s="7">
        <v>46056</v>
      </c>
      <c r="F12" s="3">
        <f>IF(E12&lt;&gt;"",1,-1)</f>
        <v>1</v>
      </c>
    </row>
    <row r="13" spans="1:7" x14ac:dyDescent="0.25">
      <c r="A13" s="5" t="s">
        <v>47</v>
      </c>
      <c r="B13" s="7">
        <v>46056</v>
      </c>
      <c r="C13" s="7">
        <v>46058</v>
      </c>
      <c r="D13" s="2">
        <f ca="1">_xlfn.DAYS(C13,TODAY())</f>
        <v>-76</v>
      </c>
      <c r="E13" s="7">
        <v>46057</v>
      </c>
      <c r="F13" s="3">
        <f>IF(E13&lt;&gt;"",1,-1)</f>
        <v>1</v>
      </c>
    </row>
    <row r="14" spans="1:7" x14ac:dyDescent="0.25">
      <c r="A14" s="5" t="s">
        <v>48</v>
      </c>
      <c r="B14" s="7">
        <v>46056</v>
      </c>
      <c r="C14" s="7">
        <v>46063</v>
      </c>
      <c r="D14" s="2">
        <f ca="1">_xlfn.DAYS(C14,TODAY())</f>
        <v>-71</v>
      </c>
      <c r="E14" s="7">
        <v>46063</v>
      </c>
      <c r="F14" s="3">
        <f>IF(E14&lt;&gt;"",1,-1)</f>
        <v>1</v>
      </c>
    </row>
    <row r="16" spans="1:7" x14ac:dyDescent="0.25">
      <c r="A16" s="5" t="s">
        <v>13</v>
      </c>
    </row>
    <row r="17" spans="1:7" x14ac:dyDescent="0.25">
      <c r="A17" s="5" t="s">
        <v>38</v>
      </c>
      <c r="B17" s="7">
        <v>46062</v>
      </c>
      <c r="C17" s="7">
        <v>46062</v>
      </c>
      <c r="D17" s="2">
        <f ca="1">_xlfn.DAYS(C17,TODAY())</f>
        <v>-72</v>
      </c>
      <c r="E17" s="7">
        <v>46062</v>
      </c>
      <c r="F17" s="3">
        <f>IF(E17&lt;&gt;"",1,-1)</f>
        <v>1</v>
      </c>
    </row>
    <row r="18" spans="1:7" x14ac:dyDescent="0.25">
      <c r="A18" s="5" t="s">
        <v>49</v>
      </c>
      <c r="B18" s="7">
        <v>46062</v>
      </c>
      <c r="C18" s="7">
        <v>46066</v>
      </c>
      <c r="D18" s="2">
        <f ca="1">_xlfn.DAYS(C18,TODAY())</f>
        <v>-68</v>
      </c>
      <c r="E18" s="7">
        <v>46064</v>
      </c>
      <c r="F18" s="3">
        <f>IF(E18&lt;&gt;"",1,-1)</f>
        <v>1</v>
      </c>
    </row>
    <row r="19" spans="1:7" x14ac:dyDescent="0.25">
      <c r="A19" s="5" t="s">
        <v>50</v>
      </c>
      <c r="B19" s="7">
        <v>46062</v>
      </c>
      <c r="C19" s="7">
        <v>46068</v>
      </c>
      <c r="D19" s="2">
        <f ca="1">_xlfn.DAYS(C19,TODAY())</f>
        <v>-66</v>
      </c>
      <c r="E19" s="7">
        <v>46067</v>
      </c>
      <c r="F19" s="3">
        <f>IF(E19&lt;&gt;"",1,-1)</f>
        <v>1</v>
      </c>
    </row>
    <row r="21" spans="1:7" ht="15.75" x14ac:dyDescent="0.25">
      <c r="A21" s="40" t="s">
        <v>14</v>
      </c>
      <c r="B21" s="40"/>
      <c r="C21" s="40"/>
    </row>
    <row r="22" spans="1:7" ht="15.75" x14ac:dyDescent="0.25">
      <c r="A22" s="40" t="s">
        <v>15</v>
      </c>
      <c r="B22" s="42">
        <v>46072</v>
      </c>
      <c r="C22" s="42">
        <v>46072</v>
      </c>
      <c r="D22" s="2">
        <f ca="1">_xlfn.DAYS(C22,TODAY())</f>
        <v>-62</v>
      </c>
      <c r="E22" s="42">
        <v>46072</v>
      </c>
      <c r="F22" s="3">
        <f>IF(E22&lt;&gt;"",1,-1)</f>
        <v>1</v>
      </c>
    </row>
    <row r="23" spans="1:7" ht="15.75" x14ac:dyDescent="0.25">
      <c r="A23" s="5" t="s">
        <v>51</v>
      </c>
      <c r="B23" s="42">
        <v>46072</v>
      </c>
      <c r="C23" s="42">
        <v>46072</v>
      </c>
      <c r="D23" s="2">
        <f ca="1">_xlfn.DAYS(C23,TODAY())</f>
        <v>-62</v>
      </c>
      <c r="E23" s="42">
        <v>46072</v>
      </c>
      <c r="F23" s="3">
        <f>IF(E23&lt;&gt;"",1,-1)</f>
        <v>1</v>
      </c>
    </row>
    <row r="24" spans="1:7" ht="15.75" x14ac:dyDescent="0.25">
      <c r="A24" s="5" t="s">
        <v>52</v>
      </c>
      <c r="B24" s="42">
        <v>46072</v>
      </c>
      <c r="C24" s="42">
        <v>46072</v>
      </c>
      <c r="D24" s="2">
        <f ca="1">_xlfn.DAYS(C24,TODAY())</f>
        <v>-62</v>
      </c>
      <c r="E24" s="42">
        <v>46072</v>
      </c>
      <c r="F24" s="3">
        <f>IF(E24&lt;&gt;"",1,-1)</f>
        <v>1</v>
      </c>
    </row>
    <row r="26" spans="1:7" x14ac:dyDescent="0.25">
      <c r="A26" s="5" t="s">
        <v>61</v>
      </c>
    </row>
    <row r="27" spans="1:7" x14ac:dyDescent="0.25">
      <c r="A27" s="5" t="s">
        <v>15</v>
      </c>
      <c r="B27" s="7">
        <v>46079</v>
      </c>
      <c r="C27" s="7">
        <v>46079</v>
      </c>
      <c r="D27" s="2">
        <f ca="1">_xlfn.DAYS(C27,TODAY())</f>
        <v>-55</v>
      </c>
      <c r="E27" s="7">
        <v>46079</v>
      </c>
      <c r="F27" s="3">
        <f>IF(E27&lt;&gt;"",1,-1)</f>
        <v>1</v>
      </c>
    </row>
    <row r="28" spans="1:7" ht="30" x14ac:dyDescent="0.25">
      <c r="A28" s="44" t="s">
        <v>100</v>
      </c>
      <c r="B28" s="7">
        <v>46072</v>
      </c>
      <c r="C28" s="7">
        <v>46086</v>
      </c>
      <c r="D28" s="2">
        <f t="shared" ref="D28:D30" ca="1" si="0">_xlfn.DAYS(C28,TODAY())</f>
        <v>-48</v>
      </c>
      <c r="E28" s="7">
        <v>46086</v>
      </c>
      <c r="F28" s="3">
        <f>IF(E28&lt;&gt;"",1,-1)</f>
        <v>1</v>
      </c>
    </row>
    <row r="29" spans="1:7" x14ac:dyDescent="0.25">
      <c r="A29" s="5" t="s">
        <v>122</v>
      </c>
      <c r="B29" s="7">
        <v>46081</v>
      </c>
      <c r="C29" s="7">
        <v>46102</v>
      </c>
      <c r="D29" s="2">
        <f t="shared" ca="1" si="0"/>
        <v>-32</v>
      </c>
      <c r="E29" s="7"/>
      <c r="F29" s="3">
        <f>IF(E29&lt;&gt;"",1,-1)</f>
        <v>-1</v>
      </c>
      <c r="G29" s="5" t="s">
        <v>160</v>
      </c>
    </row>
    <row r="30" spans="1:7" x14ac:dyDescent="0.25">
      <c r="A30" s="5" t="s">
        <v>101</v>
      </c>
      <c r="B30" s="7">
        <v>46079</v>
      </c>
      <c r="C30" s="7">
        <v>46086</v>
      </c>
      <c r="D30" s="2">
        <f t="shared" ca="1" si="0"/>
        <v>-48</v>
      </c>
      <c r="E30" s="7">
        <v>46086</v>
      </c>
      <c r="F30" s="3">
        <f>IF(E30&lt;&gt;"",1,-1)</f>
        <v>1</v>
      </c>
    </row>
    <row r="32" spans="1:7" x14ac:dyDescent="0.25">
      <c r="A32" s="5" t="s">
        <v>121</v>
      </c>
    </row>
    <row r="33" spans="1:7" x14ac:dyDescent="0.25">
      <c r="A33" s="5" t="s">
        <v>123</v>
      </c>
      <c r="B33" s="7">
        <v>46091</v>
      </c>
      <c r="C33" s="7">
        <v>46091</v>
      </c>
      <c r="D33" s="2">
        <f t="shared" ref="D33:D37" ca="1" si="1">_xlfn.DAYS(C33,TODAY())</f>
        <v>-43</v>
      </c>
      <c r="E33" s="7">
        <v>46091</v>
      </c>
      <c r="F33" s="3">
        <f>IF(E33&lt;&gt;"",1,-1)</f>
        <v>1</v>
      </c>
    </row>
    <row r="34" spans="1:7" x14ac:dyDescent="0.25">
      <c r="A34" s="5" t="s">
        <v>124</v>
      </c>
      <c r="B34" s="7">
        <v>46091</v>
      </c>
      <c r="C34" s="7">
        <v>46091</v>
      </c>
      <c r="D34" s="2">
        <f t="shared" ca="1" si="1"/>
        <v>-43</v>
      </c>
      <c r="E34" s="7">
        <v>46091</v>
      </c>
      <c r="F34" s="3">
        <f>IF(E34&lt;&gt;"",1,-1)</f>
        <v>1</v>
      </c>
    </row>
    <row r="35" spans="1:7" x14ac:dyDescent="0.25">
      <c r="A35" s="5" t="s">
        <v>15</v>
      </c>
      <c r="B35" s="7">
        <v>46091</v>
      </c>
      <c r="C35" s="7">
        <v>46091</v>
      </c>
      <c r="D35" s="2">
        <f t="shared" ca="1" si="1"/>
        <v>-43</v>
      </c>
      <c r="E35" s="7">
        <v>46091</v>
      </c>
      <c r="F35" s="3">
        <f>IF(E35&lt;&gt;"",1,-1)</f>
        <v>1</v>
      </c>
    </row>
    <row r="36" spans="1:7" x14ac:dyDescent="0.25">
      <c r="A36" s="5" t="s">
        <v>126</v>
      </c>
      <c r="B36" s="7">
        <v>46093</v>
      </c>
      <c r="C36" s="7">
        <v>46093</v>
      </c>
      <c r="D36" s="2">
        <f t="shared" ca="1" si="1"/>
        <v>-41</v>
      </c>
      <c r="E36" s="7">
        <v>46093</v>
      </c>
      <c r="F36" s="3">
        <f>IF(E36&lt;&gt;"",1,-1)</f>
        <v>1</v>
      </c>
    </row>
    <row r="37" spans="1:7" x14ac:dyDescent="0.25">
      <c r="A37" s="5" t="s">
        <v>125</v>
      </c>
      <c r="B37" s="7">
        <v>46091</v>
      </c>
      <c r="C37" s="7">
        <v>46102</v>
      </c>
      <c r="D37" s="2">
        <f t="shared" ca="1" si="1"/>
        <v>-32</v>
      </c>
      <c r="E37" s="7">
        <v>46092</v>
      </c>
      <c r="F37" s="3">
        <f>IF(E37&lt;&gt;"",1,-1)</f>
        <v>1</v>
      </c>
    </row>
    <row r="39" spans="1:7" x14ac:dyDescent="0.25">
      <c r="A39" s="5" t="s">
        <v>159</v>
      </c>
    </row>
    <row r="40" spans="1:7" x14ac:dyDescent="0.25">
      <c r="A40" s="5" t="s">
        <v>8</v>
      </c>
      <c r="B40" s="7">
        <v>46100</v>
      </c>
      <c r="C40" s="7">
        <v>46100</v>
      </c>
      <c r="D40" s="2">
        <f t="shared" ref="D40:D45" ca="1" si="2">_xlfn.DAYS(C40,TODAY())</f>
        <v>-34</v>
      </c>
      <c r="E40" s="7">
        <v>46100</v>
      </c>
      <c r="F40" s="3">
        <f>IF(E40&lt;&gt;"",1,-1)</f>
        <v>1</v>
      </c>
    </row>
    <row r="41" spans="1:7" x14ac:dyDescent="0.25">
      <c r="A41" s="5" t="s">
        <v>161</v>
      </c>
      <c r="B41" s="7">
        <v>46098</v>
      </c>
      <c r="C41" s="7">
        <v>46102</v>
      </c>
      <c r="D41" s="2">
        <f t="shared" ca="1" si="2"/>
        <v>-32</v>
      </c>
      <c r="E41" s="7">
        <v>46102</v>
      </c>
      <c r="F41" s="3">
        <f t="shared" ref="F41:F45" si="3">IF(E41&lt;&gt;"",1,-1)</f>
        <v>1</v>
      </c>
    </row>
    <row r="42" spans="1:7" x14ac:dyDescent="0.25">
      <c r="A42" s="5" t="s">
        <v>162</v>
      </c>
      <c r="B42" s="7">
        <v>46102</v>
      </c>
      <c r="C42" s="7">
        <v>46102</v>
      </c>
      <c r="D42" s="2">
        <f t="shared" ca="1" si="2"/>
        <v>-32</v>
      </c>
      <c r="E42" s="7">
        <v>46102</v>
      </c>
      <c r="F42" s="3">
        <f t="shared" si="3"/>
        <v>1</v>
      </c>
    </row>
    <row r="43" spans="1:7" ht="30" x14ac:dyDescent="0.25">
      <c r="A43" s="5" t="s">
        <v>163</v>
      </c>
      <c r="B43" s="7">
        <v>46102</v>
      </c>
      <c r="C43" s="7">
        <v>46102</v>
      </c>
      <c r="D43" s="2">
        <f t="shared" ca="1" si="2"/>
        <v>-32</v>
      </c>
      <c r="E43" s="7">
        <v>46104</v>
      </c>
      <c r="F43" s="3">
        <f t="shared" si="3"/>
        <v>1</v>
      </c>
      <c r="G43" s="44" t="s">
        <v>166</v>
      </c>
    </row>
    <row r="44" spans="1:7" x14ac:dyDescent="0.25">
      <c r="A44" s="5" t="s">
        <v>164</v>
      </c>
      <c r="B44" s="7">
        <v>46102</v>
      </c>
      <c r="C44" s="7">
        <v>46102</v>
      </c>
      <c r="D44" s="2">
        <f t="shared" ca="1" si="2"/>
        <v>-32</v>
      </c>
      <c r="E44" s="7">
        <v>46102</v>
      </c>
      <c r="F44" s="3">
        <f t="shared" si="3"/>
        <v>1</v>
      </c>
    </row>
    <row r="45" spans="1:7" x14ac:dyDescent="0.25">
      <c r="A45" s="5" t="s">
        <v>165</v>
      </c>
      <c r="B45" s="7">
        <v>46098</v>
      </c>
      <c r="C45" s="7">
        <v>46102</v>
      </c>
      <c r="D45" s="2">
        <f t="shared" ca="1" si="2"/>
        <v>-32</v>
      </c>
      <c r="E45" s="7">
        <v>46102</v>
      </c>
      <c r="F45" s="3">
        <f t="shared" si="3"/>
        <v>1</v>
      </c>
    </row>
    <row r="47" spans="1:7" x14ac:dyDescent="0.25">
      <c r="A47" s="5" t="s">
        <v>167</v>
      </c>
    </row>
    <row r="48" spans="1:7" x14ac:dyDescent="0.25">
      <c r="A48" s="5" t="s">
        <v>217</v>
      </c>
      <c r="B48" s="7">
        <v>46105</v>
      </c>
      <c r="C48" s="7">
        <v>46109</v>
      </c>
      <c r="D48" s="2">
        <f t="shared" ref="D48:D50" ca="1" si="4">_xlfn.DAYS(C48,TODAY())</f>
        <v>-25</v>
      </c>
      <c r="E48" s="7">
        <v>46109</v>
      </c>
      <c r="F48" s="3">
        <f t="shared" ref="F48:F50" si="5">IF(E48&lt;&gt;"",1,-1)</f>
        <v>1</v>
      </c>
    </row>
    <row r="49" spans="1:7" ht="30" x14ac:dyDescent="0.25">
      <c r="A49" s="44" t="s">
        <v>168</v>
      </c>
      <c r="B49" s="7">
        <v>46109</v>
      </c>
      <c r="C49" s="7">
        <v>46109</v>
      </c>
      <c r="D49" s="2">
        <f t="shared" ca="1" si="4"/>
        <v>-25</v>
      </c>
      <c r="E49" s="7">
        <v>46109</v>
      </c>
      <c r="F49" s="3">
        <f t="shared" si="5"/>
        <v>1</v>
      </c>
    </row>
    <row r="50" spans="1:7" x14ac:dyDescent="0.25">
      <c r="A50" s="5" t="s">
        <v>169</v>
      </c>
      <c r="B50" s="7">
        <v>46109</v>
      </c>
      <c r="C50" s="7">
        <v>46109</v>
      </c>
      <c r="D50" s="2">
        <f t="shared" ca="1" si="4"/>
        <v>-25</v>
      </c>
      <c r="E50" s="7">
        <v>46109</v>
      </c>
      <c r="F50" s="3">
        <f t="shared" si="5"/>
        <v>1</v>
      </c>
      <c r="G50" s="5" t="s">
        <v>266</v>
      </c>
    </row>
    <row r="52" spans="1:7" x14ac:dyDescent="0.25">
      <c r="A52" s="5" t="s">
        <v>185</v>
      </c>
    </row>
    <row r="53" spans="1:7" x14ac:dyDescent="0.25">
      <c r="A53" s="5" t="s">
        <v>186</v>
      </c>
      <c r="B53" s="71">
        <v>46111</v>
      </c>
      <c r="C53" s="7">
        <v>46116</v>
      </c>
      <c r="D53" s="2">
        <f t="shared" ref="D53:D54" ca="1" si="6">_xlfn.DAYS(C53,TODAY())</f>
        <v>-18</v>
      </c>
      <c r="E53" s="7">
        <v>46114</v>
      </c>
      <c r="F53" s="3">
        <f t="shared" ref="F53:F54" si="7">IF(E53&lt;&gt;"",1,-1)</f>
        <v>1</v>
      </c>
    </row>
    <row r="54" spans="1:7" x14ac:dyDescent="0.25">
      <c r="A54" s="5" t="s">
        <v>187</v>
      </c>
      <c r="B54" s="7">
        <v>46111</v>
      </c>
      <c r="C54" s="7">
        <v>46116</v>
      </c>
      <c r="D54" s="2">
        <f t="shared" ca="1" si="6"/>
        <v>-18</v>
      </c>
      <c r="E54" s="7">
        <v>46116</v>
      </c>
      <c r="F54" s="3">
        <f t="shared" si="7"/>
        <v>1</v>
      </c>
      <c r="G54" s="5" t="s">
        <v>266</v>
      </c>
    </row>
    <row r="56" spans="1:7" x14ac:dyDescent="0.25">
      <c r="A56" s="5" t="s">
        <v>206</v>
      </c>
    </row>
    <row r="57" spans="1:7" x14ac:dyDescent="0.25">
      <c r="A57" s="5" t="s">
        <v>207</v>
      </c>
      <c r="B57" s="7">
        <v>46117</v>
      </c>
      <c r="C57" s="7">
        <v>46124</v>
      </c>
      <c r="D57" s="2">
        <f t="shared" ref="D57:D61" ca="1" si="8">_xlfn.DAYS(C57,TODAY())</f>
        <v>-10</v>
      </c>
      <c r="E57" s="7">
        <v>46124</v>
      </c>
      <c r="F57" s="3">
        <f t="shared" ref="F57:F61" si="9">IF(E57&lt;&gt;"",1,-1)</f>
        <v>1</v>
      </c>
      <c r="G57" s="5" t="s">
        <v>266</v>
      </c>
    </row>
    <row r="58" spans="1:7" x14ac:dyDescent="0.25">
      <c r="A58" s="5" t="s">
        <v>208</v>
      </c>
      <c r="B58" s="7">
        <v>46119</v>
      </c>
      <c r="C58" s="7">
        <v>46119</v>
      </c>
      <c r="D58" s="2">
        <f t="shared" ca="1" si="8"/>
        <v>-15</v>
      </c>
      <c r="E58" s="7">
        <v>46119</v>
      </c>
      <c r="F58" s="3">
        <f t="shared" si="9"/>
        <v>1</v>
      </c>
    </row>
    <row r="59" spans="1:7" x14ac:dyDescent="0.25">
      <c r="A59" s="5" t="s">
        <v>209</v>
      </c>
      <c r="B59" s="7">
        <v>46122</v>
      </c>
      <c r="C59" s="7">
        <v>46122</v>
      </c>
      <c r="D59" s="2">
        <f t="shared" ca="1" si="8"/>
        <v>-12</v>
      </c>
      <c r="E59" s="7">
        <v>46122</v>
      </c>
      <c r="F59" s="3">
        <f t="shared" si="9"/>
        <v>1</v>
      </c>
    </row>
    <row r="60" spans="1:7" x14ac:dyDescent="0.25">
      <c r="A60" s="5" t="s">
        <v>210</v>
      </c>
      <c r="B60" s="7">
        <v>46123</v>
      </c>
      <c r="C60" s="7">
        <v>46124</v>
      </c>
      <c r="D60" s="2">
        <f t="shared" ca="1" si="8"/>
        <v>-10</v>
      </c>
      <c r="E60" s="7">
        <v>46123</v>
      </c>
      <c r="F60" s="3">
        <f t="shared" si="9"/>
        <v>1</v>
      </c>
    </row>
    <row r="61" spans="1:7" x14ac:dyDescent="0.25">
      <c r="A61" s="5" t="s">
        <v>211</v>
      </c>
      <c r="B61" s="7">
        <v>46123</v>
      </c>
      <c r="C61" s="7">
        <v>46124</v>
      </c>
      <c r="D61" s="2">
        <f t="shared" ca="1" si="8"/>
        <v>-10</v>
      </c>
      <c r="E61" s="7">
        <v>46124</v>
      </c>
      <c r="F61" s="3">
        <f t="shared" si="9"/>
        <v>1</v>
      </c>
    </row>
    <row r="63" spans="1:7" x14ac:dyDescent="0.25">
      <c r="A63" s="5" t="s">
        <v>212</v>
      </c>
    </row>
    <row r="64" spans="1:7" x14ac:dyDescent="0.25">
      <c r="A64" s="5" t="s">
        <v>213</v>
      </c>
      <c r="B64" s="7">
        <v>46124</v>
      </c>
      <c r="C64" s="7">
        <v>46127</v>
      </c>
      <c r="D64" s="2">
        <f t="shared" ref="D64:D67" ca="1" si="10">_xlfn.DAYS(C64,TODAY())</f>
        <v>-7</v>
      </c>
      <c r="E64" s="7">
        <v>46127</v>
      </c>
      <c r="F64" s="3">
        <f t="shared" ref="F64:F67" si="11">IF(E64&lt;&gt;"",1,-1)</f>
        <v>1</v>
      </c>
    </row>
    <row r="65" spans="1:6" x14ac:dyDescent="0.25">
      <c r="A65" s="5" t="s">
        <v>214</v>
      </c>
      <c r="B65" s="7">
        <v>46126</v>
      </c>
      <c r="C65" s="7">
        <v>46127</v>
      </c>
      <c r="D65" s="2">
        <f t="shared" ca="1" si="10"/>
        <v>-7</v>
      </c>
      <c r="E65" s="7">
        <v>46127</v>
      </c>
      <c r="F65" s="3">
        <f t="shared" si="11"/>
        <v>1</v>
      </c>
    </row>
    <row r="66" spans="1:6" x14ac:dyDescent="0.25">
      <c r="A66" s="5" t="s">
        <v>215</v>
      </c>
      <c r="B66" s="7">
        <v>46126</v>
      </c>
      <c r="C66" s="7">
        <v>46127</v>
      </c>
      <c r="D66" s="2">
        <f t="shared" ca="1" si="10"/>
        <v>-7</v>
      </c>
      <c r="E66" s="7">
        <v>46127</v>
      </c>
      <c r="F66" s="3">
        <f t="shared" si="11"/>
        <v>1</v>
      </c>
    </row>
    <row r="67" spans="1:6" ht="30" x14ac:dyDescent="0.25">
      <c r="A67" s="44" t="s">
        <v>216</v>
      </c>
      <c r="B67" s="7">
        <v>46128</v>
      </c>
      <c r="C67" s="7">
        <v>46128</v>
      </c>
      <c r="D67" s="2">
        <f t="shared" ca="1" si="10"/>
        <v>-6</v>
      </c>
      <c r="E67" s="7">
        <v>46128</v>
      </c>
      <c r="F67" s="3">
        <f t="shared" si="11"/>
        <v>1</v>
      </c>
    </row>
  </sheetData>
  <sheetProtection insertColumns="0" insertRows="0" deleteColumns="0" deleteRows="0" sort="0"/>
  <conditionalFormatting sqref="D4">
    <cfRule type="cellIs" dxfId="47" priority="45" operator="equal">
      <formula>0</formula>
    </cfRule>
    <cfRule type="cellIs" dxfId="46" priority="44" operator="lessThan">
      <formula>0</formula>
    </cfRule>
    <cfRule type="expression" dxfId="45" priority="43" stopIfTrue="1">
      <formula>E4&lt;&gt;""</formula>
    </cfRule>
    <cfRule type="cellIs" dxfId="44" priority="46" operator="greaterThan">
      <formula>0</formula>
    </cfRule>
  </conditionalFormatting>
  <conditionalFormatting sqref="D7:D9">
    <cfRule type="cellIs" dxfId="43" priority="31" operator="greaterThan">
      <formula>0</formula>
    </cfRule>
    <cfRule type="cellIs" dxfId="42" priority="30" operator="equal">
      <formula>0</formula>
    </cfRule>
    <cfRule type="cellIs" dxfId="41" priority="29" operator="lessThan">
      <formula>0</formula>
    </cfRule>
    <cfRule type="expression" dxfId="40" priority="28" stopIfTrue="1">
      <formula>E7&lt;&gt;""</formula>
    </cfRule>
  </conditionalFormatting>
  <conditionalFormatting sqref="D12:D14">
    <cfRule type="expression" dxfId="39" priority="32" stopIfTrue="1">
      <formula>E12&lt;&gt;""</formula>
    </cfRule>
    <cfRule type="cellIs" dxfId="38" priority="35" operator="greaterThan">
      <formula>0</formula>
    </cfRule>
    <cfRule type="cellIs" dxfId="37" priority="34" operator="equal">
      <formula>0</formula>
    </cfRule>
    <cfRule type="cellIs" dxfId="36" priority="33" operator="lessThan">
      <formula>0</formula>
    </cfRule>
  </conditionalFormatting>
  <conditionalFormatting sqref="D17:D19">
    <cfRule type="cellIs" dxfId="35" priority="27" operator="greaterThan">
      <formula>0</formula>
    </cfRule>
    <cfRule type="expression" dxfId="34" priority="24" stopIfTrue="1">
      <formula>E17&lt;&gt;""</formula>
    </cfRule>
    <cfRule type="cellIs" dxfId="33" priority="26" operator="equal">
      <formula>0</formula>
    </cfRule>
    <cfRule type="cellIs" dxfId="32" priority="25" operator="lessThan">
      <formula>0</formula>
    </cfRule>
  </conditionalFormatting>
  <conditionalFormatting sqref="D22:D24">
    <cfRule type="cellIs" dxfId="31" priority="21" operator="equal">
      <formula>0</formula>
    </cfRule>
    <cfRule type="cellIs" dxfId="30" priority="22" operator="greaterThan">
      <formula>0</formula>
    </cfRule>
    <cfRule type="expression" dxfId="29" priority="19" stopIfTrue="1">
      <formula>E22&lt;&gt;""</formula>
    </cfRule>
    <cfRule type="cellIs" dxfId="28" priority="20" operator="lessThan">
      <formula>0</formula>
    </cfRule>
  </conditionalFormatting>
  <conditionalFormatting sqref="D27:D30">
    <cfRule type="cellIs" dxfId="27" priority="16" operator="equal">
      <formula>0</formula>
    </cfRule>
    <cfRule type="cellIs" dxfId="26" priority="15" operator="lessThan">
      <formula>0</formula>
    </cfRule>
    <cfRule type="cellIs" dxfId="25" priority="17" operator="greaterThan">
      <formula>0</formula>
    </cfRule>
    <cfRule type="expression" dxfId="24" priority="14" stopIfTrue="1">
      <formula>E27&lt;&gt;""</formula>
    </cfRule>
  </conditionalFormatting>
  <conditionalFormatting sqref="D33:D36">
    <cfRule type="cellIs" dxfId="23" priority="10" operator="greaterThan">
      <formula>0</formula>
    </cfRule>
    <cfRule type="cellIs" dxfId="22" priority="9" operator="equal">
      <formula>0</formula>
    </cfRule>
    <cfRule type="cellIs" dxfId="21" priority="8" operator="lessThan">
      <formula>0</formula>
    </cfRule>
    <cfRule type="expression" dxfId="20" priority="7" stopIfTrue="1">
      <formula>E33&lt;&gt;""</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42" id="{646D3410-5B40-4469-9A61-F270E208D614}">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37" id="{E77E3F53-4B60-4C16-B495-758105A32FD5}">
            <x14:iconSet iconSet="3Symbols" showValue="0" custom="1">
              <x14:cfvo type="percent">
                <xm:f>0</xm:f>
              </x14:cfvo>
              <x14:cfvo type="num">
                <xm:f>0</xm:f>
              </x14:cfvo>
              <x14:cfvo type="num">
                <xm:f>0</xm:f>
              </x14:cfvo>
              <x14:cfIcon iconSet="3Symbols" iconId="0"/>
              <x14:cfIcon iconSet="NoIcons" iconId="0"/>
              <x14:cfIcon iconSet="3Symbols" iconId="2"/>
            </x14:iconSet>
          </x14:cfRule>
          <xm:sqref>F7:F9</xm:sqref>
        </x14:conditionalFormatting>
        <x14:conditionalFormatting xmlns:xm="http://schemas.microsoft.com/office/excel/2006/main">
          <x14:cfRule type="iconSet" priority="36" id="{47B85925-68F8-41B2-8AC6-9F675949C9BE}">
            <x14:iconSet iconSet="3Symbols" showValue="0" custom="1">
              <x14:cfvo type="percent">
                <xm:f>0</xm:f>
              </x14:cfvo>
              <x14:cfvo type="num">
                <xm:f>0</xm:f>
              </x14:cfvo>
              <x14:cfvo type="num">
                <xm:f>0</xm:f>
              </x14:cfvo>
              <x14:cfIcon iconSet="3Symbols" iconId="0"/>
              <x14:cfIcon iconSet="NoIcons" iconId="0"/>
              <x14:cfIcon iconSet="3Symbols" iconId="2"/>
            </x14:iconSet>
          </x14:cfRule>
          <xm:sqref>F12:F14</xm:sqref>
        </x14:conditionalFormatting>
        <x14:conditionalFormatting xmlns:xm="http://schemas.microsoft.com/office/excel/2006/main">
          <x14:cfRule type="iconSet" priority="23" id="{A951B9D3-F06C-44BA-8721-8B47B9316E97}">
            <x14:iconSet iconSet="3Symbols" showValue="0" custom="1">
              <x14:cfvo type="percent">
                <xm:f>0</xm:f>
              </x14:cfvo>
              <x14:cfvo type="num">
                <xm:f>0</xm:f>
              </x14:cfvo>
              <x14:cfvo type="num">
                <xm:f>0</xm:f>
              </x14:cfvo>
              <x14:cfIcon iconSet="3Symbols" iconId="0"/>
              <x14:cfIcon iconSet="NoIcons" iconId="0"/>
              <x14:cfIcon iconSet="3Symbols" iconId="2"/>
            </x14:iconSet>
          </x14:cfRule>
          <xm:sqref>F17:F19</xm:sqref>
        </x14:conditionalFormatting>
        <x14:conditionalFormatting xmlns:xm="http://schemas.microsoft.com/office/excel/2006/main">
          <x14:cfRule type="iconSet" priority="18" id="{5C31AD85-6962-4DE1-9BA7-B0D5AD9FA145}">
            <x14:iconSet iconSet="3Symbols" showValue="0" custom="1">
              <x14:cfvo type="percent">
                <xm:f>0</xm:f>
              </x14:cfvo>
              <x14:cfvo type="num">
                <xm:f>0</xm:f>
              </x14:cfvo>
              <x14:cfvo type="num">
                <xm:f>0</xm:f>
              </x14:cfvo>
              <x14:cfIcon iconSet="3Symbols" iconId="0"/>
              <x14:cfIcon iconSet="NoIcons" iconId="0"/>
              <x14:cfIcon iconSet="3Symbols" iconId="2"/>
            </x14:iconSet>
          </x14:cfRule>
          <xm:sqref>F22:F24</xm:sqref>
        </x14:conditionalFormatting>
        <x14:conditionalFormatting xmlns:xm="http://schemas.microsoft.com/office/excel/2006/main">
          <x14:cfRule type="iconSet" priority="13" id="{DA14CF44-D428-439D-AAB6-174BFC27E8D7}">
            <x14:iconSet iconSet="3Symbols" showValue="0" custom="1">
              <x14:cfvo type="percent">
                <xm:f>0</xm:f>
              </x14:cfvo>
              <x14:cfvo type="num">
                <xm:f>0</xm:f>
              </x14:cfvo>
              <x14:cfvo type="num">
                <xm:f>0</xm:f>
              </x14:cfvo>
              <x14:cfIcon iconSet="3Symbols" iconId="0"/>
              <x14:cfIcon iconSet="NoIcons" iconId="0"/>
              <x14:cfIcon iconSet="3Symbols" iconId="2"/>
            </x14:iconSet>
          </x14:cfRule>
          <xm:sqref>F27</xm:sqref>
        </x14:conditionalFormatting>
        <x14:conditionalFormatting xmlns:xm="http://schemas.microsoft.com/office/excel/2006/main">
          <x14:cfRule type="iconSet" priority="12" id="{82ECD09D-9457-4200-A58E-E9B3C037DA61}">
            <x14:iconSet iconSet="3Symbols" showValue="0" custom="1">
              <x14:cfvo type="percent">
                <xm:f>0</xm:f>
              </x14:cfvo>
              <x14:cfvo type="num">
                <xm:f>0</xm:f>
              </x14:cfvo>
              <x14:cfvo type="num">
                <xm:f>0</xm:f>
              </x14:cfvo>
              <x14:cfIcon iconSet="3Symbols" iconId="0"/>
              <x14:cfIcon iconSet="NoIcons" iconId="0"/>
              <x14:cfIcon iconSet="3Symbols" iconId="2"/>
            </x14:iconSet>
          </x14:cfRule>
          <xm:sqref>F28:F30</xm:sqref>
        </x14:conditionalFormatting>
        <x14:conditionalFormatting xmlns:xm="http://schemas.microsoft.com/office/excel/2006/main">
          <x14:cfRule type="iconSet" priority="11" id="{2E9898E4-E162-4A01-8AF0-E1F5F0EF654B}">
            <x14:iconSet iconSet="3Symbols" showValue="0" custom="1">
              <x14:cfvo type="percent">
                <xm:f>0</xm:f>
              </x14:cfvo>
              <x14:cfvo type="num">
                <xm:f>0</xm:f>
              </x14:cfvo>
              <x14:cfvo type="num">
                <xm:f>0</xm:f>
              </x14:cfvo>
              <x14:cfIcon iconSet="3Symbols" iconId="0"/>
              <x14:cfIcon iconSet="NoIcons" iconId="0"/>
              <x14:cfIcon iconSet="3Symbols" iconId="2"/>
            </x14:iconSet>
          </x14:cfRule>
          <xm:sqref>F33:F37</xm:sqref>
        </x14:conditionalFormatting>
        <x14:conditionalFormatting xmlns:xm="http://schemas.microsoft.com/office/excel/2006/main">
          <x14:cfRule type="iconSet" priority="6" id="{B326DFC5-8FDE-4110-BDF3-E9E38ACCC490}">
            <x14:iconSet iconSet="3Symbols" showValue="0" custom="1">
              <x14:cfvo type="percent">
                <xm:f>0</xm:f>
              </x14:cfvo>
              <x14:cfvo type="num">
                <xm:f>0</xm:f>
              </x14:cfvo>
              <x14:cfvo type="num">
                <xm:f>0</xm:f>
              </x14:cfvo>
              <x14:cfIcon iconSet="3Symbols" iconId="0"/>
              <x14:cfIcon iconSet="NoIcons" iconId="0"/>
              <x14:cfIcon iconSet="3Symbols" iconId="2"/>
            </x14:iconSet>
          </x14:cfRule>
          <xm:sqref>F40:F45</xm:sqref>
        </x14:conditionalFormatting>
        <x14:conditionalFormatting xmlns:xm="http://schemas.microsoft.com/office/excel/2006/main">
          <x14:cfRule type="iconSet" priority="5" id="{56059103-E691-4CBB-B382-5310122350EF}">
            <x14:iconSet iconSet="3Symbols" showValue="0" custom="1">
              <x14:cfvo type="percent">
                <xm:f>0</xm:f>
              </x14:cfvo>
              <x14:cfvo type="num">
                <xm:f>0</xm:f>
              </x14:cfvo>
              <x14:cfvo type="num">
                <xm:f>0</xm:f>
              </x14:cfvo>
              <x14:cfIcon iconSet="3Symbols" iconId="0"/>
              <x14:cfIcon iconSet="NoIcons" iconId="0"/>
              <x14:cfIcon iconSet="3Symbols" iconId="2"/>
            </x14:iconSet>
          </x14:cfRule>
          <xm:sqref>F48:F50</xm:sqref>
        </x14:conditionalFormatting>
        <x14:conditionalFormatting xmlns:xm="http://schemas.microsoft.com/office/excel/2006/main">
          <x14:cfRule type="iconSet" priority="4" id="{B4CA5C67-D69B-4E20-A1B0-C9D4E9CEF853}">
            <x14:iconSet iconSet="3Symbols" showValue="0" custom="1">
              <x14:cfvo type="percent">
                <xm:f>0</xm:f>
              </x14:cfvo>
              <x14:cfvo type="num">
                <xm:f>0</xm:f>
              </x14:cfvo>
              <x14:cfvo type="num">
                <xm:f>0</xm:f>
              </x14:cfvo>
              <x14:cfIcon iconSet="3Symbols" iconId="0"/>
              <x14:cfIcon iconSet="NoIcons" iconId="0"/>
              <x14:cfIcon iconSet="3Symbols" iconId="2"/>
            </x14:iconSet>
          </x14:cfRule>
          <xm:sqref>F53</xm:sqref>
        </x14:conditionalFormatting>
        <x14:conditionalFormatting xmlns:xm="http://schemas.microsoft.com/office/excel/2006/main">
          <x14:cfRule type="iconSet" priority="3" id="{07E0A0A8-4525-4DF6-B05E-599FF7ED6528}">
            <x14:iconSet iconSet="3Symbols" showValue="0" custom="1">
              <x14:cfvo type="percent">
                <xm:f>0</xm:f>
              </x14:cfvo>
              <x14:cfvo type="num">
                <xm:f>0</xm:f>
              </x14:cfvo>
              <x14:cfvo type="num">
                <xm:f>0</xm:f>
              </x14:cfvo>
              <x14:cfIcon iconSet="3Symbols" iconId="0"/>
              <x14:cfIcon iconSet="NoIcons" iconId="0"/>
              <x14:cfIcon iconSet="3Symbols" iconId="2"/>
            </x14:iconSet>
          </x14:cfRule>
          <xm:sqref>F54</xm:sqref>
        </x14:conditionalFormatting>
        <x14:conditionalFormatting xmlns:xm="http://schemas.microsoft.com/office/excel/2006/main">
          <x14:cfRule type="iconSet" priority="2" id="{C8E7C2C9-D5F6-468B-BDAF-C4D71C2A3850}">
            <x14:iconSet iconSet="3Symbols" showValue="0" custom="1">
              <x14:cfvo type="percent">
                <xm:f>0</xm:f>
              </x14:cfvo>
              <x14:cfvo type="num">
                <xm:f>0</xm:f>
              </x14:cfvo>
              <x14:cfvo type="num">
                <xm:f>0</xm:f>
              </x14:cfvo>
              <x14:cfIcon iconSet="3Symbols" iconId="0"/>
              <x14:cfIcon iconSet="NoIcons" iconId="0"/>
              <x14:cfIcon iconSet="3Symbols" iconId="2"/>
            </x14:iconSet>
          </x14:cfRule>
          <xm:sqref>F57:F61</xm:sqref>
        </x14:conditionalFormatting>
        <x14:conditionalFormatting xmlns:xm="http://schemas.microsoft.com/office/excel/2006/main">
          <x14:cfRule type="iconSet" priority="1" id="{7729C4C0-2DA4-44DE-BC47-93E84F53AF6D}">
            <x14:iconSet iconSet="3Symbols" showValue="0" custom="1">
              <x14:cfvo type="percent">
                <xm:f>0</xm:f>
              </x14:cfvo>
              <x14:cfvo type="num">
                <xm:f>0</xm:f>
              </x14:cfvo>
              <x14:cfvo type="num">
                <xm:f>0</xm:f>
              </x14:cfvo>
              <x14:cfIcon iconSet="3Symbols" iconId="0"/>
              <x14:cfIcon iconSet="NoIcons" iconId="0"/>
              <x14:cfIcon iconSet="3Symbols" iconId="2"/>
            </x14:iconSet>
          </x14:cfRule>
          <xm:sqref>F64:F67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8F48F-8878-4BD5-9559-E79892BDF95C}">
  <dimension ref="A1:G68"/>
  <sheetViews>
    <sheetView topLeftCell="A52" workbookViewId="0">
      <selection activeCell="F65" sqref="F65:F68"/>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71.140625"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A4" s="5" t="s">
        <v>8</v>
      </c>
      <c r="B4" s="7">
        <v>46044</v>
      </c>
      <c r="C4" s="7">
        <v>46044</v>
      </c>
      <c r="D4" s="2">
        <f ca="1">_xlfn.DAYS(C4,TODAY())</f>
        <v>-90</v>
      </c>
      <c r="E4" s="7">
        <v>46044</v>
      </c>
      <c r="F4" s="3">
        <f>IF(E4&lt;&gt;"",1,-1)</f>
        <v>1</v>
      </c>
    </row>
    <row r="6" spans="1:7" x14ac:dyDescent="0.25">
      <c r="A6" s="5" t="s">
        <v>9</v>
      </c>
    </row>
    <row r="7" spans="1:7" x14ac:dyDescent="0.25">
      <c r="A7" s="5" t="s">
        <v>8</v>
      </c>
      <c r="B7" s="7">
        <v>46050</v>
      </c>
      <c r="C7" s="7">
        <v>46050</v>
      </c>
      <c r="D7" s="2">
        <f ca="1">_xlfn.DAYS(C7,TODAY())</f>
        <v>-84</v>
      </c>
      <c r="E7" s="7">
        <v>46050</v>
      </c>
      <c r="F7" s="3">
        <f>IF(E7&lt;&gt;"",1,-1)</f>
        <v>1</v>
      </c>
    </row>
    <row r="8" spans="1:7" x14ac:dyDescent="0.25">
      <c r="A8" s="11" t="s">
        <v>53</v>
      </c>
      <c r="B8" s="12">
        <v>46044</v>
      </c>
      <c r="C8" s="12">
        <v>46058</v>
      </c>
      <c r="D8" s="9">
        <v>4</v>
      </c>
      <c r="E8" s="12">
        <v>46052</v>
      </c>
      <c r="F8" s="3">
        <f>IF(E8&lt;&gt;"",1,-1)</f>
        <v>1</v>
      </c>
    </row>
    <row r="10" spans="1:7" x14ac:dyDescent="0.25">
      <c r="A10" s="11" t="s">
        <v>10</v>
      </c>
      <c r="B10" s="11"/>
      <c r="C10" s="11"/>
      <c r="D10" s="11"/>
      <c r="E10" s="11"/>
      <c r="F10" s="11"/>
    </row>
    <row r="11" spans="1:7" x14ac:dyDescent="0.25">
      <c r="A11" s="11" t="s">
        <v>54</v>
      </c>
      <c r="B11" s="12">
        <v>46056</v>
      </c>
      <c r="C11" s="12">
        <v>46056</v>
      </c>
      <c r="D11" s="9">
        <v>-6</v>
      </c>
      <c r="E11" s="12">
        <v>46056</v>
      </c>
      <c r="F11" s="27">
        <v>1</v>
      </c>
    </row>
    <row r="12" spans="1:7" x14ac:dyDescent="0.25">
      <c r="A12" s="11"/>
      <c r="B12" s="12"/>
      <c r="C12" s="12"/>
      <c r="D12" s="37"/>
      <c r="E12" s="11"/>
      <c r="F12" s="27"/>
    </row>
    <row r="13" spans="1:7" x14ac:dyDescent="0.25">
      <c r="A13" s="36" t="s">
        <v>55</v>
      </c>
      <c r="B13" s="7"/>
      <c r="C13" s="7"/>
    </row>
    <row r="14" spans="1:7" x14ac:dyDescent="0.25">
      <c r="A14" s="5" t="s">
        <v>54</v>
      </c>
      <c r="B14" s="7">
        <v>46062</v>
      </c>
      <c r="C14" s="7">
        <v>46062</v>
      </c>
      <c r="D14" s="2">
        <f ca="1">_xlfn.DAYS(C14,TODAY())</f>
        <v>-72</v>
      </c>
      <c r="E14" s="7"/>
      <c r="F14" s="3">
        <f>IF(E14&lt;&gt;"",1,-1)</f>
        <v>-1</v>
      </c>
      <c r="G14" s="5" t="s">
        <v>56</v>
      </c>
    </row>
    <row r="16" spans="1:7" x14ac:dyDescent="0.25">
      <c r="A16" s="49" t="s">
        <v>71</v>
      </c>
      <c r="B16" s="50"/>
      <c r="C16" s="50"/>
      <c r="D16" s="50"/>
      <c r="E16" s="50"/>
      <c r="F16" s="50"/>
    </row>
    <row r="17" spans="1:6" x14ac:dyDescent="0.25">
      <c r="A17" s="50" t="s">
        <v>80</v>
      </c>
      <c r="B17" s="51">
        <v>46072</v>
      </c>
      <c r="C17" s="51">
        <v>46072</v>
      </c>
      <c r="D17" s="52">
        <v>-9</v>
      </c>
      <c r="E17" s="51">
        <v>46072</v>
      </c>
      <c r="F17" s="3">
        <f>IF(E17&lt;&gt;"",1,-1)</f>
        <v>1</v>
      </c>
    </row>
    <row r="18" spans="1:6" x14ac:dyDescent="0.25">
      <c r="A18" s="50" t="s">
        <v>81</v>
      </c>
      <c r="B18" s="51">
        <v>46072</v>
      </c>
      <c r="C18" s="51">
        <v>46072</v>
      </c>
      <c r="D18" s="52">
        <v>-9</v>
      </c>
      <c r="E18" s="51">
        <v>46072</v>
      </c>
      <c r="F18" s="3">
        <f t="shared" ref="F18:F27" si="0">IF(E18&lt;&gt;"",1,-1)</f>
        <v>1</v>
      </c>
    </row>
    <row r="19" spans="1:6" x14ac:dyDescent="0.25">
      <c r="A19" s="50" t="s">
        <v>82</v>
      </c>
      <c r="B19" s="51">
        <v>46072</v>
      </c>
      <c r="C19" s="51">
        <v>46090</v>
      </c>
      <c r="D19" s="53">
        <v>9</v>
      </c>
      <c r="E19" s="50"/>
      <c r="F19" s="3">
        <f t="shared" si="0"/>
        <v>-1</v>
      </c>
    </row>
    <row r="20" spans="1:6" x14ac:dyDescent="0.25">
      <c r="A20" s="50" t="s">
        <v>83</v>
      </c>
      <c r="B20" s="51">
        <v>46072</v>
      </c>
      <c r="C20" s="51">
        <v>46090</v>
      </c>
      <c r="D20" s="53">
        <v>9</v>
      </c>
      <c r="E20" s="50"/>
      <c r="F20" s="3">
        <f t="shared" si="0"/>
        <v>-1</v>
      </c>
    </row>
    <row r="21" spans="1:6" x14ac:dyDescent="0.25">
      <c r="A21" s="50" t="s">
        <v>84</v>
      </c>
      <c r="B21" s="51">
        <v>46072</v>
      </c>
      <c r="C21" s="51">
        <v>46090</v>
      </c>
      <c r="D21" s="53">
        <v>9</v>
      </c>
      <c r="E21" s="50"/>
      <c r="F21" s="3">
        <f t="shared" si="0"/>
        <v>-1</v>
      </c>
    </row>
    <row r="22" spans="1:6" x14ac:dyDescent="0.25">
      <c r="A22" s="50" t="s">
        <v>85</v>
      </c>
      <c r="B22" s="51">
        <v>46072</v>
      </c>
      <c r="C22" s="51">
        <v>46090</v>
      </c>
      <c r="D22" s="53">
        <v>9</v>
      </c>
      <c r="E22" s="50"/>
      <c r="F22" s="3">
        <f t="shared" si="0"/>
        <v>-1</v>
      </c>
    </row>
    <row r="23" spans="1:6" x14ac:dyDescent="0.25">
      <c r="A23" s="50" t="s">
        <v>86</v>
      </c>
      <c r="B23" s="51">
        <v>46072</v>
      </c>
      <c r="C23" s="51">
        <v>46090</v>
      </c>
      <c r="D23" s="53">
        <v>9</v>
      </c>
      <c r="E23" s="50"/>
      <c r="F23" s="3">
        <f t="shared" si="0"/>
        <v>-1</v>
      </c>
    </row>
    <row r="24" spans="1:6" x14ac:dyDescent="0.25">
      <c r="A24" s="50" t="s">
        <v>87</v>
      </c>
      <c r="B24" s="51">
        <v>46072</v>
      </c>
      <c r="C24" s="51">
        <v>46090</v>
      </c>
      <c r="D24" s="53">
        <v>9</v>
      </c>
      <c r="E24" s="50"/>
      <c r="F24" s="3">
        <f t="shared" si="0"/>
        <v>-1</v>
      </c>
    </row>
    <row r="25" spans="1:6" x14ac:dyDescent="0.25">
      <c r="A25" s="50" t="s">
        <v>88</v>
      </c>
      <c r="B25" s="51">
        <v>46072</v>
      </c>
      <c r="C25" s="51">
        <v>46090</v>
      </c>
      <c r="D25" s="53">
        <v>9</v>
      </c>
      <c r="E25" s="50"/>
      <c r="F25" s="3">
        <f t="shared" si="0"/>
        <v>-1</v>
      </c>
    </row>
    <row r="26" spans="1:6" x14ac:dyDescent="0.25">
      <c r="A26" s="50" t="s">
        <v>89</v>
      </c>
      <c r="B26" s="51">
        <v>46072</v>
      </c>
      <c r="C26" s="51">
        <v>46090</v>
      </c>
      <c r="D26" s="53">
        <v>9</v>
      </c>
      <c r="E26" s="50"/>
      <c r="F26" s="3">
        <f t="shared" si="0"/>
        <v>-1</v>
      </c>
    </row>
    <row r="27" spans="1:6" x14ac:dyDescent="0.25">
      <c r="A27" s="50" t="s">
        <v>90</v>
      </c>
      <c r="B27" s="51">
        <v>46072</v>
      </c>
      <c r="C27" s="51">
        <v>46090</v>
      </c>
      <c r="D27" s="53">
        <v>9</v>
      </c>
      <c r="E27" s="50"/>
      <c r="F27" s="3">
        <f t="shared" si="0"/>
        <v>-1</v>
      </c>
    </row>
    <row r="28" spans="1:6" x14ac:dyDescent="0.25">
      <c r="A28" s="50"/>
      <c r="B28" s="50"/>
      <c r="C28" s="50"/>
      <c r="D28" s="50"/>
      <c r="E28" s="50"/>
      <c r="F28" s="50"/>
    </row>
    <row r="29" spans="1:6" x14ac:dyDescent="0.25">
      <c r="A29" s="54" t="s">
        <v>62</v>
      </c>
      <c r="B29" s="50"/>
      <c r="C29" s="50"/>
      <c r="D29" s="50"/>
      <c r="E29" s="50"/>
      <c r="F29" s="50"/>
    </row>
    <row r="30" spans="1:6" x14ac:dyDescent="0.25">
      <c r="A30" s="50" t="s">
        <v>8</v>
      </c>
      <c r="B30" s="51">
        <v>46079</v>
      </c>
      <c r="C30" s="51">
        <v>46079</v>
      </c>
      <c r="D30" s="50">
        <v>-2</v>
      </c>
      <c r="E30" s="51">
        <v>46079</v>
      </c>
      <c r="F30" s="3">
        <f t="shared" ref="F30:F31" si="1">IF(E30&lt;&gt;"",1,-1)</f>
        <v>1</v>
      </c>
    </row>
    <row r="31" spans="1:6" x14ac:dyDescent="0.25">
      <c r="A31" s="50" t="s">
        <v>91</v>
      </c>
      <c r="B31" s="51">
        <v>46079</v>
      </c>
      <c r="C31" s="51">
        <v>46079</v>
      </c>
      <c r="D31" s="50">
        <v>-2</v>
      </c>
      <c r="E31" s="51">
        <v>46079</v>
      </c>
      <c r="F31" s="3">
        <f t="shared" si="1"/>
        <v>1</v>
      </c>
    </row>
    <row r="33" spans="1:7" x14ac:dyDescent="0.25">
      <c r="A33" s="57" t="s">
        <v>113</v>
      </c>
      <c r="B33" s="11"/>
      <c r="C33" s="11"/>
      <c r="D33" s="11"/>
      <c r="E33" s="11"/>
      <c r="F33" s="11"/>
      <c r="G33" s="11"/>
    </row>
    <row r="34" spans="1:7" x14ac:dyDescent="0.25">
      <c r="A34" s="11" t="s">
        <v>8</v>
      </c>
      <c r="B34" s="51">
        <v>46086</v>
      </c>
      <c r="C34" s="51">
        <v>46086</v>
      </c>
      <c r="D34" s="58">
        <v>-12</v>
      </c>
      <c r="E34" s="50"/>
      <c r="F34" s="3">
        <f t="shared" ref="F34" si="2">IF(E34&lt;&gt;"",1,-1)</f>
        <v>-1</v>
      </c>
      <c r="G34" s="11" t="s">
        <v>115</v>
      </c>
    </row>
    <row r="36" spans="1:7" x14ac:dyDescent="0.25">
      <c r="A36" s="59" t="s">
        <v>131</v>
      </c>
      <c r="B36" s="11"/>
      <c r="C36" s="11"/>
      <c r="D36" s="11"/>
      <c r="E36" s="11"/>
      <c r="F36" s="11"/>
      <c r="G36" s="11"/>
    </row>
    <row r="37" spans="1:7" x14ac:dyDescent="0.25">
      <c r="A37" s="11" t="s">
        <v>132</v>
      </c>
      <c r="B37" s="51">
        <v>46093</v>
      </c>
      <c r="C37" s="51">
        <v>46107</v>
      </c>
      <c r="D37" s="53">
        <v>8</v>
      </c>
      <c r="E37" s="50"/>
      <c r="F37" s="3">
        <f t="shared" ref="F37:F44" si="3">IF(E37&lt;&gt;"",1,-1)</f>
        <v>-1</v>
      </c>
      <c r="G37" s="11"/>
    </row>
    <row r="38" spans="1:7" x14ac:dyDescent="0.25">
      <c r="A38" s="11" t="s">
        <v>133</v>
      </c>
      <c r="B38" s="51">
        <v>46093</v>
      </c>
      <c r="C38" s="51">
        <v>46107</v>
      </c>
      <c r="D38" s="53">
        <v>8</v>
      </c>
      <c r="E38" s="50"/>
      <c r="F38" s="3">
        <f t="shared" si="3"/>
        <v>-1</v>
      </c>
      <c r="G38" s="11"/>
    </row>
    <row r="39" spans="1:7" x14ac:dyDescent="0.25">
      <c r="A39" s="11" t="s">
        <v>134</v>
      </c>
      <c r="B39" s="51">
        <v>46093</v>
      </c>
      <c r="C39" s="51">
        <v>46107</v>
      </c>
      <c r="D39" s="53">
        <v>8</v>
      </c>
      <c r="E39" s="50"/>
      <c r="F39" s="3">
        <f t="shared" si="3"/>
        <v>-1</v>
      </c>
      <c r="G39" s="11"/>
    </row>
    <row r="40" spans="1:7" x14ac:dyDescent="0.25">
      <c r="A40" s="11" t="s">
        <v>135</v>
      </c>
      <c r="B40" s="51">
        <v>46093</v>
      </c>
      <c r="C40" s="51">
        <v>46107</v>
      </c>
      <c r="D40" s="53">
        <v>8</v>
      </c>
      <c r="E40" s="50"/>
      <c r="F40" s="3">
        <f t="shared" si="3"/>
        <v>-1</v>
      </c>
      <c r="G40" s="11" t="s">
        <v>136</v>
      </c>
    </row>
    <row r="41" spans="1:7" x14ac:dyDescent="0.25">
      <c r="A41" s="11" t="s">
        <v>137</v>
      </c>
      <c r="B41" s="51">
        <v>46093</v>
      </c>
      <c r="C41" s="51">
        <v>46107</v>
      </c>
      <c r="D41" s="53">
        <v>8</v>
      </c>
      <c r="E41" s="50"/>
      <c r="F41" s="3">
        <f t="shared" si="3"/>
        <v>-1</v>
      </c>
      <c r="G41" s="11"/>
    </row>
    <row r="42" spans="1:7" x14ac:dyDescent="0.25">
      <c r="A42" s="11" t="s">
        <v>138</v>
      </c>
      <c r="B42" s="51">
        <v>46093</v>
      </c>
      <c r="C42" s="51">
        <v>46107</v>
      </c>
      <c r="D42" s="53">
        <v>8</v>
      </c>
      <c r="E42" s="50"/>
      <c r="F42" s="3">
        <f t="shared" si="3"/>
        <v>-1</v>
      </c>
      <c r="G42" s="11"/>
    </row>
    <row r="43" spans="1:7" x14ac:dyDescent="0.25">
      <c r="A43" s="11" t="s">
        <v>139</v>
      </c>
      <c r="B43" s="51">
        <v>46093</v>
      </c>
      <c r="C43" s="51">
        <v>46107</v>
      </c>
      <c r="D43" s="53">
        <v>8</v>
      </c>
      <c r="E43" s="50"/>
      <c r="F43" s="3">
        <f t="shared" si="3"/>
        <v>-1</v>
      </c>
      <c r="G43" s="11"/>
    </row>
    <row r="44" spans="1:7" x14ac:dyDescent="0.25">
      <c r="A44" s="11" t="s">
        <v>140</v>
      </c>
      <c r="B44" s="51">
        <v>46093</v>
      </c>
      <c r="C44" s="51">
        <v>46107</v>
      </c>
      <c r="D44" s="53">
        <v>8</v>
      </c>
      <c r="E44" s="50"/>
      <c r="F44" s="3">
        <f t="shared" si="3"/>
        <v>-1</v>
      </c>
      <c r="G44" s="11"/>
    </row>
    <row r="46" spans="1:7" x14ac:dyDescent="0.25">
      <c r="A46" s="59" t="s">
        <v>188</v>
      </c>
      <c r="B46" s="50"/>
      <c r="C46" s="50"/>
      <c r="D46" s="11"/>
      <c r="E46" s="50"/>
      <c r="F46" s="68"/>
      <c r="G46" s="11"/>
    </row>
    <row r="47" spans="1:7" x14ac:dyDescent="0.25">
      <c r="A47" s="11" t="s">
        <v>8</v>
      </c>
      <c r="B47" s="51">
        <v>46086</v>
      </c>
      <c r="C47" s="51">
        <v>46103</v>
      </c>
      <c r="D47" s="52">
        <v>-13</v>
      </c>
      <c r="E47" s="51">
        <v>46103</v>
      </c>
      <c r="F47" s="3">
        <f t="shared" ref="F47:F49" si="4">IF(E47&lt;&gt;"",1,-1)</f>
        <v>1</v>
      </c>
      <c r="G47" s="11" t="s">
        <v>189</v>
      </c>
    </row>
    <row r="48" spans="1:7" x14ac:dyDescent="0.25">
      <c r="A48" s="11" t="s">
        <v>190</v>
      </c>
      <c r="B48" s="51">
        <v>46097</v>
      </c>
      <c r="C48" s="51">
        <v>46103</v>
      </c>
      <c r="D48" s="52">
        <v>-13</v>
      </c>
      <c r="E48" s="51">
        <v>46103</v>
      </c>
      <c r="F48" s="3">
        <f t="shared" si="4"/>
        <v>1</v>
      </c>
      <c r="G48" s="11"/>
    </row>
    <row r="49" spans="1:7" x14ac:dyDescent="0.25">
      <c r="A49" s="11" t="s">
        <v>191</v>
      </c>
      <c r="B49" s="51">
        <v>46100</v>
      </c>
      <c r="C49" s="51">
        <v>46121</v>
      </c>
      <c r="D49" s="52">
        <v>5</v>
      </c>
      <c r="E49" s="51">
        <v>46115</v>
      </c>
      <c r="F49" s="3">
        <f t="shared" si="4"/>
        <v>1</v>
      </c>
      <c r="G49" s="11"/>
    </row>
    <row r="50" spans="1:7" x14ac:dyDescent="0.25">
      <c r="A50" s="11"/>
      <c r="B50" s="11"/>
      <c r="C50" s="11"/>
      <c r="D50" s="11"/>
      <c r="E50" s="11"/>
      <c r="F50" s="11"/>
      <c r="G50" s="11"/>
    </row>
    <row r="51" spans="1:7" x14ac:dyDescent="0.25">
      <c r="A51" s="59" t="s">
        <v>192</v>
      </c>
      <c r="B51" s="11"/>
      <c r="C51" s="11"/>
      <c r="D51" s="11"/>
      <c r="E51" s="11"/>
      <c r="F51" s="11"/>
      <c r="G51" s="11"/>
    </row>
    <row r="52" spans="1:7" x14ac:dyDescent="0.25">
      <c r="A52" s="11" t="s">
        <v>193</v>
      </c>
      <c r="B52" s="51">
        <v>46104</v>
      </c>
      <c r="C52" s="51">
        <v>46107</v>
      </c>
      <c r="D52" s="52">
        <v>-9</v>
      </c>
      <c r="E52" s="51">
        <v>46107</v>
      </c>
      <c r="F52" s="3">
        <f t="shared" ref="F52:F53" si="5">IF(E52&lt;&gt;"",1,-1)</f>
        <v>1</v>
      </c>
      <c r="G52" s="11"/>
    </row>
    <row r="53" spans="1:7" x14ac:dyDescent="0.25">
      <c r="A53" s="11" t="s">
        <v>8</v>
      </c>
      <c r="B53" s="51">
        <v>46107</v>
      </c>
      <c r="C53" s="51">
        <v>46107</v>
      </c>
      <c r="D53" s="52">
        <v>-9</v>
      </c>
      <c r="E53" s="51">
        <v>46107</v>
      </c>
      <c r="F53" s="3">
        <f t="shared" si="5"/>
        <v>1</v>
      </c>
      <c r="G53" s="11"/>
    </row>
    <row r="54" spans="1:7" x14ac:dyDescent="0.25">
      <c r="A54" s="11" t="s">
        <v>194</v>
      </c>
      <c r="B54" s="11"/>
      <c r="C54" s="11"/>
      <c r="D54" s="11"/>
      <c r="E54" s="11"/>
      <c r="F54" s="11"/>
      <c r="G54" s="11"/>
    </row>
    <row r="55" spans="1:7" x14ac:dyDescent="0.25">
      <c r="A55" s="11"/>
      <c r="B55" s="11"/>
      <c r="C55" s="11"/>
      <c r="D55" s="11"/>
      <c r="E55" s="11"/>
      <c r="F55" s="11"/>
      <c r="G55" s="11"/>
    </row>
    <row r="56" spans="1:7" x14ac:dyDescent="0.25">
      <c r="A56" s="59" t="s">
        <v>195</v>
      </c>
      <c r="B56" s="11"/>
      <c r="C56" s="11"/>
      <c r="D56" s="11"/>
      <c r="E56" s="11"/>
      <c r="F56" s="11"/>
      <c r="G56" s="11"/>
    </row>
    <row r="57" spans="1:7" x14ac:dyDescent="0.25">
      <c r="A57" s="11" t="s">
        <v>190</v>
      </c>
      <c r="B57" s="51">
        <v>46104</v>
      </c>
      <c r="C57" s="51">
        <v>46107</v>
      </c>
      <c r="D57" s="52">
        <v>-9</v>
      </c>
      <c r="E57" s="51">
        <v>46107</v>
      </c>
      <c r="F57" s="3">
        <f t="shared" ref="F57:F58" si="6">IF(E57&lt;&gt;"",1,-1)</f>
        <v>1</v>
      </c>
      <c r="G57" s="11"/>
    </row>
    <row r="58" spans="1:7" x14ac:dyDescent="0.25">
      <c r="A58" s="11" t="s">
        <v>196</v>
      </c>
      <c r="B58" s="51">
        <v>46113</v>
      </c>
      <c r="C58" s="51">
        <v>46113</v>
      </c>
      <c r="D58" s="52">
        <v>-3</v>
      </c>
      <c r="E58" s="51">
        <v>46113</v>
      </c>
      <c r="F58" s="3">
        <f t="shared" si="6"/>
        <v>1</v>
      </c>
      <c r="G58" s="11"/>
    </row>
    <row r="60" spans="1:7" x14ac:dyDescent="0.25">
      <c r="A60" s="59" t="s">
        <v>251</v>
      </c>
      <c r="B60" s="11"/>
      <c r="C60" s="11"/>
      <c r="D60" s="11"/>
      <c r="E60" s="11"/>
      <c r="F60" s="11"/>
    </row>
    <row r="61" spans="1:7" x14ac:dyDescent="0.25">
      <c r="A61" s="11" t="s">
        <v>190</v>
      </c>
      <c r="B61" s="51">
        <v>46118</v>
      </c>
      <c r="C61" s="51">
        <v>46124</v>
      </c>
      <c r="D61" s="52">
        <v>-10</v>
      </c>
      <c r="E61" s="51">
        <v>46124</v>
      </c>
      <c r="F61" s="3">
        <f t="shared" ref="F61:F62" si="7">IF(E61&lt;&gt;"",1,-1)</f>
        <v>1</v>
      </c>
    </row>
    <row r="62" spans="1:7" x14ac:dyDescent="0.25">
      <c r="A62" s="11" t="s">
        <v>196</v>
      </c>
      <c r="B62" s="51">
        <v>46118</v>
      </c>
      <c r="C62" s="51">
        <v>46124</v>
      </c>
      <c r="D62" s="52">
        <v>-10</v>
      </c>
      <c r="E62" s="51">
        <v>46124</v>
      </c>
      <c r="F62" s="3">
        <f t="shared" si="7"/>
        <v>1</v>
      </c>
    </row>
    <row r="63" spans="1:7" x14ac:dyDescent="0.25">
      <c r="A63" s="59"/>
      <c r="B63" s="11"/>
      <c r="C63" s="11"/>
      <c r="D63" s="11"/>
      <c r="E63" s="11"/>
      <c r="F63" s="11"/>
    </row>
    <row r="64" spans="1:7" x14ac:dyDescent="0.25">
      <c r="A64" s="59" t="s">
        <v>252</v>
      </c>
      <c r="B64" s="11"/>
      <c r="C64" s="11"/>
      <c r="D64" s="11"/>
      <c r="E64" s="11"/>
      <c r="F64" s="11"/>
    </row>
    <row r="65" spans="1:6" x14ac:dyDescent="0.25">
      <c r="A65" s="11" t="s">
        <v>190</v>
      </c>
      <c r="B65" s="51">
        <v>46125</v>
      </c>
      <c r="C65" s="51">
        <v>46128</v>
      </c>
      <c r="D65" s="52">
        <v>-6</v>
      </c>
      <c r="E65" s="51">
        <v>46128</v>
      </c>
      <c r="F65" s="3">
        <f t="shared" ref="F65:F68" si="8">IF(E65&lt;&gt;"",1,-1)</f>
        <v>1</v>
      </c>
    </row>
    <row r="66" spans="1:6" x14ac:dyDescent="0.25">
      <c r="A66" s="11" t="s">
        <v>196</v>
      </c>
      <c r="B66" s="51">
        <v>46125</v>
      </c>
      <c r="C66" s="51">
        <v>46128</v>
      </c>
      <c r="D66" s="52">
        <v>-6</v>
      </c>
      <c r="E66" s="51">
        <v>46128</v>
      </c>
      <c r="F66" s="3">
        <f t="shared" si="8"/>
        <v>1</v>
      </c>
    </row>
    <row r="67" spans="1:6" x14ac:dyDescent="0.25">
      <c r="A67" s="11" t="s">
        <v>253</v>
      </c>
      <c r="B67" s="51">
        <v>46124</v>
      </c>
      <c r="C67" s="51">
        <v>46126</v>
      </c>
      <c r="D67" s="52">
        <v>-8</v>
      </c>
      <c r="E67" s="51">
        <v>46126</v>
      </c>
      <c r="F67" s="3">
        <f t="shared" si="8"/>
        <v>1</v>
      </c>
    </row>
    <row r="68" spans="1:6" x14ac:dyDescent="0.25">
      <c r="A68" s="11" t="s">
        <v>254</v>
      </c>
      <c r="B68" s="51">
        <v>46126</v>
      </c>
      <c r="C68" s="51">
        <v>46133</v>
      </c>
      <c r="D68" s="52">
        <v>-1</v>
      </c>
      <c r="E68" s="51">
        <v>46131</v>
      </c>
      <c r="F68" s="3">
        <f t="shared" si="8"/>
        <v>1</v>
      </c>
    </row>
  </sheetData>
  <sheetProtection insertColumns="0" insertRows="0" deleteColumns="0" deleteRows="0" sort="0"/>
  <conditionalFormatting sqref="D4">
    <cfRule type="expression" dxfId="19" priority="32" stopIfTrue="1">
      <formula>E4&lt;&gt;""</formula>
    </cfRule>
    <cfRule type="cellIs" dxfId="18" priority="33" operator="lessThan">
      <formula>0</formula>
    </cfRule>
    <cfRule type="cellIs" dxfId="17" priority="34" operator="equal">
      <formula>0</formula>
    </cfRule>
    <cfRule type="cellIs" dxfId="16" priority="35" operator="greaterThan">
      <formula>0</formula>
    </cfRule>
  </conditionalFormatting>
  <conditionalFormatting sqref="D7">
    <cfRule type="expression" dxfId="15" priority="27" stopIfTrue="1">
      <formula>E7&lt;&gt;""</formula>
    </cfRule>
    <cfRule type="cellIs" dxfId="14" priority="28" operator="lessThan">
      <formula>0</formula>
    </cfRule>
    <cfRule type="cellIs" dxfId="13" priority="29" operator="equal">
      <formula>0</formula>
    </cfRule>
    <cfRule type="cellIs" dxfId="12" priority="30" operator="greaterThan">
      <formula>0</formula>
    </cfRule>
  </conditionalFormatting>
  <conditionalFormatting sqref="D14">
    <cfRule type="expression" dxfId="11" priority="23" stopIfTrue="1">
      <formula>E14&lt;&gt;""</formula>
    </cfRule>
    <cfRule type="cellIs" dxfId="10" priority="24" operator="lessThan">
      <formula>0</formula>
    </cfRule>
    <cfRule type="cellIs" dxfId="9" priority="25" operator="equal">
      <formula>0</formula>
    </cfRule>
    <cfRule type="cellIs" dxfId="8" priority="26"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36" id="{49BEFF35-1423-4BAB-B751-2EE1CFB74A0B}">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31" id="{F4FF1C4A-5D49-4D65-BA74-6AE299057152}">
            <x14:iconSet iconSet="3Symbols" showValue="0" custom="1">
              <x14:cfvo type="percent">
                <xm:f>0</xm:f>
              </x14:cfvo>
              <x14:cfvo type="num">
                <xm:f>0</xm:f>
              </x14:cfvo>
              <x14:cfvo type="num">
                <xm:f>0</xm:f>
              </x14:cfvo>
              <x14:cfIcon iconSet="3Symbols" iconId="0"/>
              <x14:cfIcon iconSet="NoIcons" iconId="0"/>
              <x14:cfIcon iconSet="3Symbols" iconId="2"/>
            </x14:iconSet>
          </x14:cfRule>
          <xm:sqref>F7:F8</xm:sqref>
        </x14:conditionalFormatting>
        <x14:conditionalFormatting xmlns:xm="http://schemas.microsoft.com/office/excel/2006/main">
          <x14:cfRule type="iconSet" priority="22" id="{7BB3AB6B-B0B8-41EF-8127-AB607ADA5B37}">
            <x14:iconSet iconSet="3Symbols" showValue="0" custom="1">
              <x14:cfvo type="percent">
                <xm:f>0</xm:f>
              </x14:cfvo>
              <x14:cfvo type="num">
                <xm:f>0</xm:f>
              </x14:cfvo>
              <x14:cfvo type="num">
                <xm:f>0</xm:f>
              </x14:cfvo>
              <x14:cfIcon iconSet="3Symbols" iconId="0"/>
              <x14:cfIcon iconSet="NoIcons" iconId="0"/>
              <x14:cfIcon iconSet="3Symbols" iconId="2"/>
            </x14:iconSet>
          </x14:cfRule>
          <xm:sqref>F14</xm:sqref>
        </x14:conditionalFormatting>
        <x14:conditionalFormatting xmlns:xm="http://schemas.microsoft.com/office/excel/2006/main">
          <x14:cfRule type="iconSet" priority="16" id="{DD60A7DF-2840-4C0C-83E6-0F814A59B65A}">
            <x14:iconSet iconSet="3Symbols" showValue="0" custom="1">
              <x14:cfvo type="percent">
                <xm:f>0</xm:f>
              </x14:cfvo>
              <x14:cfvo type="num">
                <xm:f>0</xm:f>
              </x14:cfvo>
              <x14:cfvo type="num">
                <xm:f>0</xm:f>
              </x14:cfvo>
              <x14:cfIcon iconSet="3Symbols" iconId="0"/>
              <x14:cfIcon iconSet="NoIcons" iconId="0"/>
              <x14:cfIcon iconSet="3Symbols" iconId="2"/>
            </x14:iconSet>
          </x14:cfRule>
          <xm:sqref>F17:F27</xm:sqref>
        </x14:conditionalFormatting>
        <x14:conditionalFormatting xmlns:xm="http://schemas.microsoft.com/office/excel/2006/main">
          <x14:cfRule type="iconSet" priority="15" id="{306AB3E3-BFF2-49BC-AEFA-EDCAE6605BA6}">
            <x14:iconSet iconSet="3Symbols" showValue="0" custom="1">
              <x14:cfvo type="percent">
                <xm:f>0</xm:f>
              </x14:cfvo>
              <x14:cfvo type="num">
                <xm:f>0</xm:f>
              </x14:cfvo>
              <x14:cfvo type="num">
                <xm:f>0</xm:f>
              </x14:cfvo>
              <x14:cfIcon iconSet="3Symbols" iconId="0"/>
              <x14:cfIcon iconSet="NoIcons" iconId="0"/>
              <x14:cfIcon iconSet="3Symbols" iconId="2"/>
            </x14:iconSet>
          </x14:cfRule>
          <xm:sqref>F30:F31</xm:sqref>
        </x14:conditionalFormatting>
        <x14:conditionalFormatting xmlns:xm="http://schemas.microsoft.com/office/excel/2006/main">
          <x14:cfRule type="iconSet" priority="14" id="{E4CA6D32-245B-4DBB-9422-C9E14AA238D5}">
            <x14:iconSet iconSet="3Symbols" showValue="0" custom="1">
              <x14:cfvo type="percent">
                <xm:f>0</xm:f>
              </x14:cfvo>
              <x14:cfvo type="num">
                <xm:f>0</xm:f>
              </x14:cfvo>
              <x14:cfvo type="num">
                <xm:f>0</xm:f>
              </x14:cfvo>
              <x14:cfIcon iconSet="3Symbols" iconId="0"/>
              <x14:cfIcon iconSet="NoIcons" iconId="0"/>
              <x14:cfIcon iconSet="3Symbols" iconId="2"/>
            </x14:iconSet>
          </x14:cfRule>
          <xm:sqref>F34</xm:sqref>
        </x14:conditionalFormatting>
        <x14:conditionalFormatting xmlns:xm="http://schemas.microsoft.com/office/excel/2006/main">
          <x14:cfRule type="iconSet" priority="6" id="{A4D62631-4EBE-4A83-9057-905B7A7B5114}">
            <x14:iconSet iconSet="3Symbols" showValue="0" custom="1">
              <x14:cfvo type="percent">
                <xm:f>0</xm:f>
              </x14:cfvo>
              <x14:cfvo type="num">
                <xm:f>0</xm:f>
              </x14:cfvo>
              <x14:cfvo type="num">
                <xm:f>0</xm:f>
              </x14:cfvo>
              <x14:cfIcon iconSet="3Symbols" iconId="0"/>
              <x14:cfIcon iconSet="NoIcons" iconId="0"/>
              <x14:cfIcon iconSet="3Symbols" iconId="2"/>
            </x14:iconSet>
          </x14:cfRule>
          <xm:sqref>F37:F44</xm:sqref>
        </x14:conditionalFormatting>
        <x14:conditionalFormatting xmlns:xm="http://schemas.microsoft.com/office/excel/2006/main">
          <x14:cfRule type="iconSet" priority="5" id="{A51D6220-2032-43AA-83EA-A5D52787801D}">
            <x14:iconSet iconSet="3Symbols" showValue="0" custom="1">
              <x14:cfvo type="percent">
                <xm:f>0</xm:f>
              </x14:cfvo>
              <x14:cfvo type="num">
                <xm:f>0</xm:f>
              </x14:cfvo>
              <x14:cfvo type="num">
                <xm:f>0</xm:f>
              </x14:cfvo>
              <x14:cfIcon iconSet="3Symbols" iconId="0"/>
              <x14:cfIcon iconSet="NoIcons" iconId="0"/>
              <x14:cfIcon iconSet="3Symbols" iconId="2"/>
            </x14:iconSet>
          </x14:cfRule>
          <xm:sqref>F47:F49</xm:sqref>
        </x14:conditionalFormatting>
        <x14:conditionalFormatting xmlns:xm="http://schemas.microsoft.com/office/excel/2006/main">
          <x14:cfRule type="iconSet" priority="4" id="{97D890E2-64FD-4234-B70F-944400C488C0}">
            <x14:iconSet iconSet="3Symbols" showValue="0" custom="1">
              <x14:cfvo type="percent">
                <xm:f>0</xm:f>
              </x14:cfvo>
              <x14:cfvo type="num">
                <xm:f>0</xm:f>
              </x14:cfvo>
              <x14:cfvo type="num">
                <xm:f>0</xm:f>
              </x14:cfvo>
              <x14:cfIcon iconSet="3Symbols" iconId="0"/>
              <x14:cfIcon iconSet="NoIcons" iconId="0"/>
              <x14:cfIcon iconSet="3Symbols" iconId="2"/>
            </x14:iconSet>
          </x14:cfRule>
          <xm:sqref>F52:F53</xm:sqref>
        </x14:conditionalFormatting>
        <x14:conditionalFormatting xmlns:xm="http://schemas.microsoft.com/office/excel/2006/main">
          <x14:cfRule type="iconSet" priority="3" id="{6C8DA62C-AE88-4730-8566-D099450D756E}">
            <x14:iconSet iconSet="3Symbols" showValue="0" custom="1">
              <x14:cfvo type="percent">
                <xm:f>0</xm:f>
              </x14:cfvo>
              <x14:cfvo type="num">
                <xm:f>0</xm:f>
              </x14:cfvo>
              <x14:cfvo type="num">
                <xm:f>0</xm:f>
              </x14:cfvo>
              <x14:cfIcon iconSet="3Symbols" iconId="0"/>
              <x14:cfIcon iconSet="NoIcons" iconId="0"/>
              <x14:cfIcon iconSet="3Symbols" iconId="2"/>
            </x14:iconSet>
          </x14:cfRule>
          <xm:sqref>F57:F58</xm:sqref>
        </x14:conditionalFormatting>
        <x14:conditionalFormatting xmlns:xm="http://schemas.microsoft.com/office/excel/2006/main">
          <x14:cfRule type="iconSet" priority="2" id="{E9905C46-D926-4F07-B816-C7E6B7A8B419}">
            <x14:iconSet iconSet="3Symbols" showValue="0" custom="1">
              <x14:cfvo type="percent">
                <xm:f>0</xm:f>
              </x14:cfvo>
              <x14:cfvo type="num">
                <xm:f>0</xm:f>
              </x14:cfvo>
              <x14:cfvo type="num">
                <xm:f>0</xm:f>
              </x14:cfvo>
              <x14:cfIcon iconSet="3Symbols" iconId="0"/>
              <x14:cfIcon iconSet="NoIcons" iconId="0"/>
              <x14:cfIcon iconSet="3Symbols" iconId="2"/>
            </x14:iconSet>
          </x14:cfRule>
          <xm:sqref>F61:F62</xm:sqref>
        </x14:conditionalFormatting>
        <x14:conditionalFormatting xmlns:xm="http://schemas.microsoft.com/office/excel/2006/main">
          <x14:cfRule type="iconSet" priority="1" id="{6F17D841-FD87-4A73-93A2-64FEE72854D4}">
            <x14:iconSet iconSet="3Symbols" showValue="0" custom="1">
              <x14:cfvo type="percent">
                <xm:f>0</xm:f>
              </x14:cfvo>
              <x14:cfvo type="num">
                <xm:f>0</xm:f>
              </x14:cfvo>
              <x14:cfvo type="num">
                <xm:f>0</xm:f>
              </x14:cfvo>
              <x14:cfIcon iconSet="3Symbols" iconId="0"/>
              <x14:cfIcon iconSet="NoIcons" iconId="0"/>
              <x14:cfIcon iconSet="3Symbols" iconId="2"/>
            </x14:iconSet>
          </x14:cfRule>
          <xm:sqref>F65:F68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C4683-1E23-4BBC-9059-ABC2D0AF7E8C}">
  <dimension ref="A1:G57"/>
  <sheetViews>
    <sheetView topLeftCell="A46" zoomScaleNormal="100" workbookViewId="0">
      <selection activeCell="F57" sqref="F57"/>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3" t="s">
        <v>7</v>
      </c>
    </row>
    <row r="4" spans="1:7" x14ac:dyDescent="0.25">
      <c r="A4" s="5" t="s">
        <v>8</v>
      </c>
      <c r="B4" s="7">
        <v>46044</v>
      </c>
      <c r="C4" s="7">
        <v>46044</v>
      </c>
      <c r="D4" s="2">
        <f ca="1">_xlfn.DAYS(C4,TODAY())</f>
        <v>-90</v>
      </c>
      <c r="E4" s="7">
        <v>46044</v>
      </c>
      <c r="F4" s="3">
        <f>IF(E4&lt;&gt;"",1,-1)</f>
        <v>1</v>
      </c>
    </row>
    <row r="7" spans="1:7" x14ac:dyDescent="0.25">
      <c r="A7" s="65" t="s">
        <v>57</v>
      </c>
      <c r="B7" s="11"/>
      <c r="C7" s="11"/>
      <c r="D7" s="11"/>
      <c r="E7" s="11"/>
      <c r="F7" s="11"/>
    </row>
    <row r="8" spans="1:7" x14ac:dyDescent="0.25">
      <c r="A8" s="11" t="s">
        <v>8</v>
      </c>
      <c r="B8" s="12">
        <v>46051</v>
      </c>
      <c r="C8" s="12">
        <v>46051</v>
      </c>
      <c r="D8" s="9">
        <v>-2</v>
      </c>
      <c r="E8" s="12">
        <v>46051</v>
      </c>
      <c r="F8" s="3">
        <f>IF(E8&lt;&gt;"",1,-1)</f>
        <v>1</v>
      </c>
    </row>
    <row r="10" spans="1:7" x14ac:dyDescent="0.25">
      <c r="A10" s="65" t="s">
        <v>58</v>
      </c>
      <c r="B10" s="11"/>
      <c r="C10" s="11"/>
      <c r="D10" s="11"/>
      <c r="E10" s="11"/>
      <c r="F10" s="11"/>
    </row>
    <row r="11" spans="1:7" x14ac:dyDescent="0.25">
      <c r="A11" s="11" t="s">
        <v>8</v>
      </c>
      <c r="B11" s="12">
        <v>46054</v>
      </c>
      <c r="C11" s="12">
        <v>46054</v>
      </c>
      <c r="D11" s="9">
        <v>-7</v>
      </c>
      <c r="E11" s="12">
        <v>46054</v>
      </c>
      <c r="F11" s="3">
        <f>IF(E11&lt;&gt;"",1,-1)</f>
        <v>1</v>
      </c>
    </row>
    <row r="12" spans="1:7" x14ac:dyDescent="0.25">
      <c r="A12" s="11" t="s">
        <v>59</v>
      </c>
      <c r="B12" s="12">
        <v>46056</v>
      </c>
      <c r="C12" s="12">
        <v>46060</v>
      </c>
      <c r="D12" s="9">
        <v>-7</v>
      </c>
      <c r="E12" s="12">
        <v>46058</v>
      </c>
      <c r="F12" s="3">
        <f>IF(E12&lt;&gt;"",1,-1)</f>
        <v>1</v>
      </c>
    </row>
    <row r="14" spans="1:7" x14ac:dyDescent="0.25">
      <c r="A14" s="66" t="s">
        <v>60</v>
      </c>
      <c r="B14" s="11"/>
      <c r="C14" s="11"/>
      <c r="D14" s="11"/>
      <c r="E14" s="11"/>
      <c r="F14" s="11"/>
    </row>
    <row r="15" spans="1:7" x14ac:dyDescent="0.25">
      <c r="A15" s="11" t="s">
        <v>8</v>
      </c>
      <c r="B15" s="12">
        <v>46062</v>
      </c>
      <c r="C15" s="12">
        <v>46062</v>
      </c>
      <c r="D15" s="9">
        <v>-7</v>
      </c>
      <c r="E15" s="12">
        <v>46062</v>
      </c>
      <c r="F15" s="3">
        <f>IF(E15&lt;&gt;"",1,-1)</f>
        <v>1</v>
      </c>
    </row>
    <row r="17" spans="1:6" x14ac:dyDescent="0.25">
      <c r="A17" s="11" t="s">
        <v>92</v>
      </c>
      <c r="B17" s="11"/>
      <c r="C17" s="11"/>
      <c r="D17" s="11"/>
      <c r="E17" s="11"/>
      <c r="F17" s="11"/>
    </row>
    <row r="18" spans="1:6" x14ac:dyDescent="0.25">
      <c r="A18" s="11" t="s">
        <v>8</v>
      </c>
      <c r="B18" s="11" t="s">
        <v>93</v>
      </c>
      <c r="C18" s="12">
        <v>46072</v>
      </c>
      <c r="D18" s="11">
        <v>-9</v>
      </c>
      <c r="E18" s="12">
        <v>46072</v>
      </c>
      <c r="F18" s="3">
        <f>IF(E18&lt;&gt;"",1,-1)</f>
        <v>1</v>
      </c>
    </row>
    <row r="19" spans="1:6" x14ac:dyDescent="0.25">
      <c r="A19" s="11"/>
      <c r="B19" s="11"/>
      <c r="C19" s="11"/>
      <c r="D19" s="11"/>
      <c r="E19" s="11"/>
      <c r="F19" s="11"/>
    </row>
    <row r="20" spans="1:6" x14ac:dyDescent="0.25">
      <c r="A20" s="66" t="s">
        <v>94</v>
      </c>
      <c r="B20" s="11"/>
      <c r="C20" s="11"/>
      <c r="D20" s="11"/>
      <c r="E20" s="11"/>
      <c r="F20" s="11"/>
    </row>
    <row r="21" spans="1:6" x14ac:dyDescent="0.25">
      <c r="A21" s="11" t="s">
        <v>8</v>
      </c>
      <c r="B21" s="12">
        <v>46079</v>
      </c>
      <c r="C21" s="12">
        <v>46079</v>
      </c>
      <c r="D21" s="11">
        <v>-2</v>
      </c>
      <c r="E21" s="12">
        <v>46079</v>
      </c>
      <c r="F21" s="3">
        <f>IF(E21&lt;&gt;"",1,-1)</f>
        <v>1</v>
      </c>
    </row>
    <row r="22" spans="1:6" x14ac:dyDescent="0.25">
      <c r="A22" s="11" t="s">
        <v>95</v>
      </c>
      <c r="B22" s="12">
        <v>46081</v>
      </c>
      <c r="C22" s="12">
        <v>46081</v>
      </c>
      <c r="D22" s="11">
        <v>0</v>
      </c>
      <c r="E22" s="12">
        <v>46081</v>
      </c>
      <c r="F22" s="3">
        <f>IF(E22&lt;&gt;"",1,-1)</f>
        <v>1</v>
      </c>
    </row>
    <row r="23" spans="1:6" ht="45" x14ac:dyDescent="0.25">
      <c r="A23" s="50" t="s">
        <v>96</v>
      </c>
      <c r="B23" s="12">
        <v>46079</v>
      </c>
      <c r="C23" s="12">
        <v>46079</v>
      </c>
      <c r="D23" s="11">
        <v>-2</v>
      </c>
      <c r="E23" s="12">
        <v>46079</v>
      </c>
      <c r="F23" s="3">
        <f>IF(E23&lt;&gt;"",1,-1)</f>
        <v>1</v>
      </c>
    </row>
    <row r="25" spans="1:6" x14ac:dyDescent="0.25">
      <c r="A25" s="65" t="s">
        <v>116</v>
      </c>
      <c r="B25" s="11"/>
      <c r="C25" s="11"/>
      <c r="D25" s="11"/>
      <c r="E25" s="11"/>
      <c r="F25" s="11"/>
    </row>
    <row r="26" spans="1:6" x14ac:dyDescent="0.25">
      <c r="A26" s="50" t="s">
        <v>117</v>
      </c>
      <c r="B26" s="12">
        <v>46086</v>
      </c>
      <c r="C26" s="12">
        <v>46086</v>
      </c>
      <c r="D26" s="11">
        <v>-12</v>
      </c>
      <c r="E26" s="12">
        <v>46086</v>
      </c>
      <c r="F26" s="3">
        <f>IF(E26&lt;&gt;"",1,-1)</f>
        <v>1</v>
      </c>
    </row>
    <row r="27" spans="1:6" ht="30" x14ac:dyDescent="0.25">
      <c r="A27" s="50" t="s">
        <v>118</v>
      </c>
      <c r="B27" s="12">
        <v>46087</v>
      </c>
      <c r="C27" s="12">
        <v>46087</v>
      </c>
      <c r="D27" s="11">
        <v>-11</v>
      </c>
      <c r="E27" s="12">
        <v>46087</v>
      </c>
      <c r="F27" s="3">
        <f t="shared" ref="F27:F29" si="0">IF(E27&lt;&gt;"",1,-1)</f>
        <v>1</v>
      </c>
    </row>
    <row r="28" spans="1:6" ht="30" x14ac:dyDescent="0.25">
      <c r="A28" s="50" t="s">
        <v>119</v>
      </c>
      <c r="B28" s="12">
        <v>46087</v>
      </c>
      <c r="C28" s="12">
        <v>46087</v>
      </c>
      <c r="D28" s="11">
        <v>-11</v>
      </c>
      <c r="E28" s="12">
        <v>46087</v>
      </c>
      <c r="F28" s="3">
        <f t="shared" si="0"/>
        <v>1</v>
      </c>
    </row>
    <row r="29" spans="1:6" ht="30" x14ac:dyDescent="0.25">
      <c r="A29" s="50" t="s">
        <v>120</v>
      </c>
      <c r="B29" s="12">
        <v>46087</v>
      </c>
      <c r="C29" s="12">
        <v>46087</v>
      </c>
      <c r="D29" s="11">
        <v>-11</v>
      </c>
      <c r="E29" s="12">
        <v>46087</v>
      </c>
      <c r="F29" s="3">
        <f t="shared" si="0"/>
        <v>1</v>
      </c>
    </row>
    <row r="31" spans="1:6" x14ac:dyDescent="0.25">
      <c r="A31" s="64" t="s">
        <v>121</v>
      </c>
      <c r="B31" s="11"/>
      <c r="C31" s="11"/>
      <c r="D31" s="11"/>
      <c r="E31" s="11"/>
      <c r="F31" s="11"/>
    </row>
    <row r="32" spans="1:6" x14ac:dyDescent="0.25">
      <c r="A32" s="50" t="s">
        <v>156</v>
      </c>
      <c r="B32" s="12">
        <v>46100</v>
      </c>
      <c r="C32" s="12">
        <v>46100</v>
      </c>
      <c r="D32" s="11">
        <v>-3</v>
      </c>
      <c r="E32" s="12">
        <v>46100</v>
      </c>
      <c r="F32" s="3">
        <f t="shared" ref="F32:F34" si="1">IF(E32&lt;&gt;"",1,-1)</f>
        <v>1</v>
      </c>
    </row>
    <row r="33" spans="1:6" x14ac:dyDescent="0.25">
      <c r="A33" s="50" t="s">
        <v>157</v>
      </c>
      <c r="B33" s="12">
        <v>46100</v>
      </c>
      <c r="C33" s="12">
        <v>46100</v>
      </c>
      <c r="D33" s="11">
        <v>-3</v>
      </c>
      <c r="E33" s="12">
        <v>46100</v>
      </c>
      <c r="F33" s="3">
        <f t="shared" si="1"/>
        <v>1</v>
      </c>
    </row>
    <row r="34" spans="1:6" x14ac:dyDescent="0.25">
      <c r="A34" s="50" t="s">
        <v>158</v>
      </c>
      <c r="B34" s="12">
        <v>46100</v>
      </c>
      <c r="C34" s="12">
        <v>46100</v>
      </c>
      <c r="D34" s="11">
        <v>-3</v>
      </c>
      <c r="E34" s="12">
        <v>46100</v>
      </c>
      <c r="F34" s="3">
        <f t="shared" si="1"/>
        <v>1</v>
      </c>
    </row>
    <row r="36" spans="1:6" x14ac:dyDescent="0.25">
      <c r="A36" s="50" t="s">
        <v>197</v>
      </c>
      <c r="B36" s="11"/>
      <c r="C36" s="11"/>
      <c r="D36" s="11"/>
      <c r="E36" s="11"/>
      <c r="F36" s="11"/>
    </row>
    <row r="37" spans="1:6" x14ac:dyDescent="0.25">
      <c r="A37" s="50" t="s">
        <v>198</v>
      </c>
      <c r="B37" s="12">
        <v>46104</v>
      </c>
      <c r="C37" s="12">
        <v>46104</v>
      </c>
      <c r="D37" s="11">
        <v>-12</v>
      </c>
      <c r="E37" s="12">
        <v>46104</v>
      </c>
      <c r="F37" s="3">
        <f t="shared" ref="F37:F39" si="2">IF(E37&lt;&gt;"",1,-1)</f>
        <v>1</v>
      </c>
    </row>
    <row r="38" spans="1:6" x14ac:dyDescent="0.25">
      <c r="A38" s="50" t="s">
        <v>199</v>
      </c>
      <c r="B38" s="12">
        <v>46104</v>
      </c>
      <c r="C38" s="12">
        <v>46104</v>
      </c>
      <c r="D38" s="11">
        <v>-12</v>
      </c>
      <c r="E38" s="12">
        <v>46104</v>
      </c>
      <c r="F38" s="3">
        <f t="shared" si="2"/>
        <v>1</v>
      </c>
    </row>
    <row r="39" spans="1:6" x14ac:dyDescent="0.25">
      <c r="A39" s="50" t="s">
        <v>200</v>
      </c>
      <c r="B39" s="12">
        <v>46104</v>
      </c>
      <c r="C39" s="12">
        <v>46104</v>
      </c>
      <c r="D39" s="11">
        <v>-12</v>
      </c>
      <c r="E39" s="12">
        <v>46104</v>
      </c>
      <c r="F39" s="3">
        <f t="shared" si="2"/>
        <v>1</v>
      </c>
    </row>
    <row r="40" spans="1:6" x14ac:dyDescent="0.25">
      <c r="A40" s="50"/>
      <c r="B40" s="11"/>
      <c r="C40" s="11"/>
      <c r="D40" s="11"/>
      <c r="E40" s="11"/>
      <c r="F40" s="11"/>
    </row>
    <row r="41" spans="1:6" x14ac:dyDescent="0.25">
      <c r="A41" s="50" t="s">
        <v>201</v>
      </c>
      <c r="B41" s="11"/>
      <c r="C41" s="11"/>
      <c r="D41" s="11"/>
      <c r="E41" s="11"/>
      <c r="F41" s="11"/>
    </row>
    <row r="42" spans="1:6" x14ac:dyDescent="0.25">
      <c r="A42" s="50" t="s">
        <v>202</v>
      </c>
      <c r="B42" s="12">
        <v>46107</v>
      </c>
      <c r="C42" s="12">
        <v>46107</v>
      </c>
      <c r="D42" s="11">
        <v>-27</v>
      </c>
      <c r="E42" s="12">
        <v>46107</v>
      </c>
      <c r="F42" s="3">
        <f t="shared" ref="F42:F43" si="3">IF(E42&lt;&gt;"",1,-1)</f>
        <v>1</v>
      </c>
    </row>
    <row r="43" spans="1:6" x14ac:dyDescent="0.25">
      <c r="A43" s="50" t="s">
        <v>203</v>
      </c>
      <c r="B43" s="12">
        <v>46107</v>
      </c>
      <c r="C43" s="12">
        <v>46107</v>
      </c>
      <c r="D43" s="11">
        <v>-27</v>
      </c>
      <c r="E43" s="12">
        <v>46107</v>
      </c>
      <c r="F43" s="3">
        <f t="shared" si="3"/>
        <v>1</v>
      </c>
    </row>
    <row r="45" spans="1:6" x14ac:dyDescent="0.25">
      <c r="A45" s="50" t="s">
        <v>218</v>
      </c>
      <c r="B45" s="11"/>
      <c r="C45" s="11"/>
      <c r="D45" s="11"/>
      <c r="E45" s="11"/>
      <c r="F45" s="11"/>
    </row>
    <row r="46" spans="1:6" ht="45" x14ac:dyDescent="0.25">
      <c r="A46" s="50" t="s">
        <v>219</v>
      </c>
      <c r="B46" s="12">
        <v>46114</v>
      </c>
      <c r="C46" s="12">
        <v>46114</v>
      </c>
      <c r="D46" s="11">
        <v>-20</v>
      </c>
      <c r="E46" s="12">
        <v>46114</v>
      </c>
      <c r="F46" s="3">
        <f t="shared" ref="F46" si="4">IF(E46&lt;&gt;"",1,-1)</f>
        <v>1</v>
      </c>
    </row>
    <row r="47" spans="1:6" x14ac:dyDescent="0.25">
      <c r="A47" s="11"/>
      <c r="B47" s="11"/>
      <c r="C47" s="11"/>
      <c r="D47" s="11"/>
      <c r="E47" s="11"/>
      <c r="F47" s="11"/>
    </row>
    <row r="48" spans="1:6" x14ac:dyDescent="0.25">
      <c r="A48" s="11"/>
      <c r="B48" s="11"/>
      <c r="C48" s="11"/>
      <c r="D48" s="11"/>
      <c r="E48" s="11"/>
      <c r="F48" s="11"/>
    </row>
    <row r="49" spans="1:6" x14ac:dyDescent="0.25">
      <c r="A49" s="11"/>
      <c r="B49" s="11"/>
      <c r="C49" s="11"/>
      <c r="D49" s="11"/>
      <c r="E49" s="11"/>
      <c r="F49" s="11"/>
    </row>
    <row r="50" spans="1:6" x14ac:dyDescent="0.25">
      <c r="A50" s="11"/>
      <c r="B50" s="11"/>
      <c r="C50" s="11"/>
      <c r="D50" s="11"/>
      <c r="E50" s="11"/>
      <c r="F50" s="11"/>
    </row>
    <row r="51" spans="1:6" x14ac:dyDescent="0.25">
      <c r="A51" s="11" t="s">
        <v>220</v>
      </c>
      <c r="B51" s="11"/>
      <c r="C51" s="11"/>
      <c r="D51" s="11"/>
      <c r="E51" s="11"/>
      <c r="F51" s="11"/>
    </row>
    <row r="52" spans="1:6" ht="45" x14ac:dyDescent="0.25">
      <c r="A52" s="50" t="s">
        <v>219</v>
      </c>
      <c r="B52" s="12">
        <v>46120</v>
      </c>
      <c r="C52" s="12">
        <v>46120</v>
      </c>
      <c r="D52" s="11">
        <v>-14</v>
      </c>
      <c r="E52" s="12">
        <v>46120</v>
      </c>
      <c r="F52" s="3">
        <f t="shared" ref="F52" si="5">IF(E52&lt;&gt;"",1,-1)</f>
        <v>1</v>
      </c>
    </row>
    <row r="53" spans="1:6" x14ac:dyDescent="0.25">
      <c r="A53" s="11"/>
      <c r="B53" s="11"/>
      <c r="C53" s="11"/>
      <c r="D53" s="11"/>
      <c r="E53" s="11"/>
      <c r="F53" s="11"/>
    </row>
    <row r="54" spans="1:6" x14ac:dyDescent="0.25">
      <c r="A54" s="11"/>
      <c r="B54" s="11"/>
      <c r="C54" s="11"/>
      <c r="D54" s="11"/>
      <c r="E54" s="11"/>
      <c r="F54" s="11"/>
    </row>
    <row r="55" spans="1:6" x14ac:dyDescent="0.25">
      <c r="A55" s="11"/>
      <c r="B55" s="11"/>
      <c r="C55" s="11"/>
      <c r="D55" s="11"/>
      <c r="E55" s="11"/>
      <c r="F55" s="11"/>
    </row>
    <row r="56" spans="1:6" x14ac:dyDescent="0.25">
      <c r="A56" s="11" t="s">
        <v>221</v>
      </c>
      <c r="B56" s="11"/>
      <c r="C56" s="11"/>
      <c r="D56" s="11"/>
      <c r="E56" s="11"/>
      <c r="F56" s="11"/>
    </row>
    <row r="57" spans="1:6" x14ac:dyDescent="0.25">
      <c r="A57" s="11" t="s">
        <v>222</v>
      </c>
      <c r="B57" s="11"/>
      <c r="C57" s="11"/>
      <c r="D57" s="11"/>
      <c r="E57" s="11"/>
      <c r="F57" s="11"/>
    </row>
  </sheetData>
  <sheetProtection insertColumns="0" insertRows="0" deleteColumns="0" deleteRows="0" sort="0"/>
  <conditionalFormatting sqref="D4">
    <cfRule type="expression" dxfId="7" priority="21" stopIfTrue="1">
      <formula>E4&lt;&gt;""</formula>
    </cfRule>
    <cfRule type="cellIs" dxfId="6" priority="22" operator="lessThan">
      <formula>0</formula>
    </cfRule>
    <cfRule type="cellIs" dxfId="5" priority="23" operator="equal">
      <formula>0</formula>
    </cfRule>
    <cfRule type="cellIs" dxfId="4" priority="24"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25" id="{2C5E147C-9133-4D34-BDC5-B4E0EFEA03BE}">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 xmlns:xm="http://schemas.microsoft.com/office/excel/2006/main">
          <x14:cfRule type="iconSet" priority="20" id="{B8F42D54-8FD7-4872-A039-46D67C456A1F}">
            <x14:iconSet iconSet="3Symbols" showValue="0" custom="1">
              <x14:cfvo type="percent">
                <xm:f>0</xm:f>
              </x14:cfvo>
              <x14:cfvo type="num">
                <xm:f>0</xm:f>
              </x14:cfvo>
              <x14:cfvo type="num">
                <xm:f>0</xm:f>
              </x14:cfvo>
              <x14:cfIcon iconSet="3Symbols" iconId="0"/>
              <x14:cfIcon iconSet="NoIcons" iconId="0"/>
              <x14:cfIcon iconSet="3Symbols" iconId="2"/>
            </x14:iconSet>
          </x14:cfRule>
          <xm:sqref>F8</xm:sqref>
        </x14:conditionalFormatting>
        <x14:conditionalFormatting xmlns:xm="http://schemas.microsoft.com/office/excel/2006/main">
          <x14:cfRule type="iconSet" priority="19" id="{C21FC2BB-D31E-4062-BB7F-DF32EDD4D5CC}">
            <x14:iconSet iconSet="3Symbols" showValue="0" custom="1">
              <x14:cfvo type="percent">
                <xm:f>0</xm:f>
              </x14:cfvo>
              <x14:cfvo type="num">
                <xm:f>0</xm:f>
              </x14:cfvo>
              <x14:cfvo type="num">
                <xm:f>0</xm:f>
              </x14:cfvo>
              <x14:cfIcon iconSet="3Symbols" iconId="0"/>
              <x14:cfIcon iconSet="NoIcons" iconId="0"/>
              <x14:cfIcon iconSet="3Symbols" iconId="2"/>
            </x14:iconSet>
          </x14:cfRule>
          <xm:sqref>F11:F12</xm:sqref>
        </x14:conditionalFormatting>
        <x14:conditionalFormatting xmlns:xm="http://schemas.microsoft.com/office/excel/2006/main">
          <x14:cfRule type="iconSet" priority="18" id="{381071D2-023C-420E-83F5-16991493CC59}">
            <x14:iconSet iconSet="3Symbols" showValue="0" custom="1">
              <x14:cfvo type="percent">
                <xm:f>0</xm:f>
              </x14:cfvo>
              <x14:cfvo type="num">
                <xm:f>0</xm:f>
              </x14:cfvo>
              <x14:cfvo type="num">
                <xm:f>0</xm:f>
              </x14:cfvo>
              <x14:cfIcon iconSet="3Symbols" iconId="0"/>
              <x14:cfIcon iconSet="NoIcons" iconId="0"/>
              <x14:cfIcon iconSet="3Symbols" iconId="2"/>
            </x14:iconSet>
          </x14:cfRule>
          <xm:sqref>F15</xm:sqref>
        </x14:conditionalFormatting>
        <x14:conditionalFormatting xmlns:xm="http://schemas.microsoft.com/office/excel/2006/main">
          <x14:cfRule type="iconSet" priority="12" id="{1D579DB5-D5DC-4954-81A9-99DAD0EF40E5}">
            <x14:iconSet iconSet="3Symbols" showValue="0" custom="1">
              <x14:cfvo type="percent">
                <xm:f>0</xm:f>
              </x14:cfvo>
              <x14:cfvo type="num">
                <xm:f>0</xm:f>
              </x14:cfvo>
              <x14:cfvo type="num">
                <xm:f>0</xm:f>
              </x14:cfvo>
              <x14:cfIcon iconSet="3Symbols" iconId="0"/>
              <x14:cfIcon iconSet="NoIcons" iconId="0"/>
              <x14:cfIcon iconSet="3Symbols" iconId="2"/>
            </x14:iconSet>
          </x14:cfRule>
          <xm:sqref>F18</xm:sqref>
        </x14:conditionalFormatting>
        <x14:conditionalFormatting xmlns:xm="http://schemas.microsoft.com/office/excel/2006/main">
          <x14:cfRule type="iconSet" priority="11" id="{1FCFEFF2-F820-48E6-BECC-E33B8E08C452}">
            <x14:iconSet iconSet="3Symbols" showValue="0" custom="1">
              <x14:cfvo type="percent">
                <xm:f>0</xm:f>
              </x14:cfvo>
              <x14:cfvo type="num">
                <xm:f>0</xm:f>
              </x14:cfvo>
              <x14:cfvo type="num">
                <xm:f>0</xm:f>
              </x14:cfvo>
              <x14:cfIcon iconSet="3Symbols" iconId="0"/>
              <x14:cfIcon iconSet="NoIcons" iconId="0"/>
              <x14:cfIcon iconSet="3Symbols" iconId="2"/>
            </x14:iconSet>
          </x14:cfRule>
          <xm:sqref>F21</xm:sqref>
        </x14:conditionalFormatting>
        <x14:conditionalFormatting xmlns:xm="http://schemas.microsoft.com/office/excel/2006/main">
          <x14:cfRule type="iconSet" priority="10" id="{E0710B76-9036-41AA-9D07-83EA4538C435}">
            <x14:iconSet iconSet="3Symbols" showValue="0" custom="1">
              <x14:cfvo type="percent">
                <xm:f>0</xm:f>
              </x14:cfvo>
              <x14:cfvo type="num">
                <xm:f>0</xm:f>
              </x14:cfvo>
              <x14:cfvo type="num">
                <xm:f>0</xm:f>
              </x14:cfvo>
              <x14:cfIcon iconSet="3Symbols" iconId="0"/>
              <x14:cfIcon iconSet="NoIcons" iconId="0"/>
              <x14:cfIcon iconSet="3Symbols" iconId="2"/>
            </x14:iconSet>
          </x14:cfRule>
          <xm:sqref>F22</xm:sqref>
        </x14:conditionalFormatting>
        <x14:conditionalFormatting xmlns:xm="http://schemas.microsoft.com/office/excel/2006/main">
          <x14:cfRule type="iconSet" priority="9" id="{2AEDCD56-FAA7-4ECD-8DCB-1A7FCB04E7F1}">
            <x14:iconSet iconSet="3Symbols" showValue="0" custom="1">
              <x14:cfvo type="percent">
                <xm:f>0</xm:f>
              </x14:cfvo>
              <x14:cfvo type="num">
                <xm:f>0</xm:f>
              </x14:cfvo>
              <x14:cfvo type="num">
                <xm:f>0</xm:f>
              </x14:cfvo>
              <x14:cfIcon iconSet="3Symbols" iconId="0"/>
              <x14:cfIcon iconSet="NoIcons" iconId="0"/>
              <x14:cfIcon iconSet="3Symbols" iconId="2"/>
            </x14:iconSet>
          </x14:cfRule>
          <xm:sqref>F23</xm:sqref>
        </x14:conditionalFormatting>
        <x14:conditionalFormatting xmlns:xm="http://schemas.microsoft.com/office/excel/2006/main">
          <x14:cfRule type="iconSet" priority="8" id="{DE020AA2-5430-4762-A071-25C75546DB6A}">
            <x14:iconSet iconSet="3Symbols" showValue="0" custom="1">
              <x14:cfvo type="percent">
                <xm:f>0</xm:f>
              </x14:cfvo>
              <x14:cfvo type="num">
                <xm:f>0</xm:f>
              </x14:cfvo>
              <x14:cfvo type="num">
                <xm:f>0</xm:f>
              </x14:cfvo>
              <x14:cfIcon iconSet="3Symbols" iconId="0"/>
              <x14:cfIcon iconSet="NoIcons" iconId="0"/>
              <x14:cfIcon iconSet="3Symbols" iconId="2"/>
            </x14:iconSet>
          </x14:cfRule>
          <xm:sqref>F26:F29</xm:sqref>
        </x14:conditionalFormatting>
        <x14:conditionalFormatting xmlns:xm="http://schemas.microsoft.com/office/excel/2006/main">
          <x14:cfRule type="iconSet" priority="5" id="{FA4CFBC1-740B-4BEF-8270-8F15B7056E6B}">
            <x14:iconSet iconSet="3Symbols" showValue="0" custom="1">
              <x14:cfvo type="percent">
                <xm:f>0</xm:f>
              </x14:cfvo>
              <x14:cfvo type="num">
                <xm:f>0</xm:f>
              </x14:cfvo>
              <x14:cfvo type="num">
                <xm:f>0</xm:f>
              </x14:cfvo>
              <x14:cfIcon iconSet="3Symbols" iconId="0"/>
              <x14:cfIcon iconSet="NoIcons" iconId="0"/>
              <x14:cfIcon iconSet="3Symbols" iconId="2"/>
            </x14:iconSet>
          </x14:cfRule>
          <xm:sqref>F32:F34</xm:sqref>
        </x14:conditionalFormatting>
        <x14:conditionalFormatting xmlns:xm="http://schemas.microsoft.com/office/excel/2006/main">
          <x14:cfRule type="iconSet" priority="4" id="{66195879-C6E2-41A8-A88C-471E2C6ECCB9}">
            <x14:iconSet iconSet="3Symbols" showValue="0" custom="1">
              <x14:cfvo type="percent">
                <xm:f>0</xm:f>
              </x14:cfvo>
              <x14:cfvo type="num">
                <xm:f>0</xm:f>
              </x14:cfvo>
              <x14:cfvo type="num">
                <xm:f>0</xm:f>
              </x14:cfvo>
              <x14:cfIcon iconSet="3Symbols" iconId="0"/>
              <x14:cfIcon iconSet="NoIcons" iconId="0"/>
              <x14:cfIcon iconSet="3Symbols" iconId="2"/>
            </x14:iconSet>
          </x14:cfRule>
          <xm:sqref>F37:F39</xm:sqref>
        </x14:conditionalFormatting>
        <x14:conditionalFormatting xmlns:xm="http://schemas.microsoft.com/office/excel/2006/main">
          <x14:cfRule type="iconSet" priority="3" id="{BAAAE0AF-CABE-4161-9D53-238B4C921320}">
            <x14:iconSet iconSet="3Symbols" showValue="0" custom="1">
              <x14:cfvo type="percent">
                <xm:f>0</xm:f>
              </x14:cfvo>
              <x14:cfvo type="num">
                <xm:f>0</xm:f>
              </x14:cfvo>
              <x14:cfvo type="num">
                <xm:f>0</xm:f>
              </x14:cfvo>
              <x14:cfIcon iconSet="3Symbols" iconId="0"/>
              <x14:cfIcon iconSet="NoIcons" iconId="0"/>
              <x14:cfIcon iconSet="3Symbols" iconId="2"/>
            </x14:iconSet>
          </x14:cfRule>
          <xm:sqref>F42:F43</xm:sqref>
        </x14:conditionalFormatting>
        <x14:conditionalFormatting xmlns:xm="http://schemas.microsoft.com/office/excel/2006/main">
          <x14:cfRule type="iconSet" priority="2" id="{32677FAE-FF4A-4287-8D9F-94307E73F381}">
            <x14:iconSet iconSet="3Symbols" showValue="0" custom="1">
              <x14:cfvo type="percent">
                <xm:f>0</xm:f>
              </x14:cfvo>
              <x14:cfvo type="num">
                <xm:f>0</xm:f>
              </x14:cfvo>
              <x14:cfvo type="num">
                <xm:f>0</xm:f>
              </x14:cfvo>
              <x14:cfIcon iconSet="3Symbols" iconId="0"/>
              <x14:cfIcon iconSet="NoIcons" iconId="0"/>
              <x14:cfIcon iconSet="3Symbols" iconId="2"/>
            </x14:iconSet>
          </x14:cfRule>
          <xm:sqref>F46</xm:sqref>
        </x14:conditionalFormatting>
        <x14:conditionalFormatting xmlns:xm="http://schemas.microsoft.com/office/excel/2006/main">
          <x14:cfRule type="iconSet" priority="1" id="{792D8908-E5D0-4F90-9E17-D0C36F71D26A}">
            <x14:iconSet iconSet="3Symbols" showValue="0" custom="1">
              <x14:cfvo type="percent">
                <xm:f>0</xm:f>
              </x14:cfvo>
              <x14:cfvo type="num">
                <xm:f>0</xm:f>
              </x14:cfvo>
              <x14:cfvo type="num">
                <xm:f>0</xm:f>
              </x14:cfvo>
              <x14:cfIcon iconSet="3Symbols" iconId="0"/>
              <x14:cfIcon iconSet="NoIcons" iconId="0"/>
              <x14:cfIcon iconSet="3Symbols" iconId="2"/>
            </x14:iconSet>
          </x14:cfRule>
          <xm:sqref>F52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E25A9-528D-4F68-92ED-E22920F04632}">
  <dimension ref="A1:G4"/>
  <sheetViews>
    <sheetView workbookViewId="0">
      <selection activeCell="A3" sqref="A3"/>
    </sheetView>
  </sheetViews>
  <sheetFormatPr defaultRowHeight="15" x14ac:dyDescent="0.25"/>
  <cols>
    <col min="1" max="1" width="40.28515625" style="5" customWidth="1"/>
    <col min="2" max="3" width="11" style="5" bestFit="1" customWidth="1"/>
    <col min="4" max="4" width="11" style="2" customWidth="1"/>
    <col min="5" max="5" width="11.28515625" style="5" bestFit="1" customWidth="1"/>
    <col min="6" max="6" width="11.28515625" style="2" bestFit="1" customWidth="1"/>
    <col min="7" max="7" width="66" style="5" customWidth="1"/>
  </cols>
  <sheetData>
    <row r="1" spans="1:7" s="1" customFormat="1" ht="15.75" x14ac:dyDescent="0.25">
      <c r="A1" s="4" t="s">
        <v>0</v>
      </c>
      <c r="B1" s="4" t="s">
        <v>1</v>
      </c>
      <c r="C1" s="4" t="s">
        <v>2</v>
      </c>
      <c r="D1" s="8" t="s">
        <v>3</v>
      </c>
      <c r="E1" s="4" t="s">
        <v>4</v>
      </c>
      <c r="F1" s="8" t="s">
        <v>5</v>
      </c>
      <c r="G1" s="4" t="s">
        <v>6</v>
      </c>
    </row>
    <row r="2" spans="1:7" ht="15.75" x14ac:dyDescent="0.25">
      <c r="C2" s="4"/>
      <c r="D2" s="8"/>
      <c r="E2" s="4"/>
    </row>
    <row r="3" spans="1:7" x14ac:dyDescent="0.25">
      <c r="A3" s="6" t="s">
        <v>7</v>
      </c>
    </row>
    <row r="4" spans="1:7" x14ac:dyDescent="0.25">
      <c r="B4" s="7"/>
      <c r="C4" s="7"/>
      <c r="D4" s="2">
        <f ca="1">_xlfn.DAYS(C4,TODAY())</f>
        <v>-46134</v>
      </c>
      <c r="E4" s="7"/>
      <c r="F4" s="3">
        <f>IF(E4&lt;&gt;"",1,-1)</f>
        <v>-1</v>
      </c>
    </row>
  </sheetData>
  <sheetProtection insertColumns="0" insertRows="0" deleteColumns="0" deleteRows="0" sort="0"/>
  <conditionalFormatting sqref="D4">
    <cfRule type="expression" dxfId="3" priority="3" stopIfTrue="1">
      <formula>E4&lt;&gt;""</formula>
    </cfRule>
    <cfRule type="cellIs" dxfId="2" priority="4" operator="lessThan">
      <formula>0</formula>
    </cfRule>
    <cfRule type="cellIs" dxfId="1" priority="5" operator="equal">
      <formula>0</formula>
    </cfRule>
    <cfRule type="cellIs" dxfId="0" priority="6" operator="greaterThan">
      <formula>0</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1" id="{D33ED9D9-D2E0-443F-BE49-870BB4399D2C}">
            <x14:iconSet iconSet="3Symbols" showValue="0" custom="1">
              <x14:cfvo type="percent">
                <xm:f>0</xm:f>
              </x14:cfvo>
              <x14:cfvo type="num">
                <xm:f>0</xm:f>
              </x14:cfvo>
              <x14:cfvo type="num">
                <xm:f>0</xm:f>
              </x14:cfvo>
              <x14:cfIcon iconSet="3Symbols" iconId="0"/>
              <x14:cfIcon iconSet="NoIcons" iconId="0"/>
              <x14:cfIcon iconSet="3Symbols" iconId="2"/>
            </x14:iconSet>
          </x14:cfRule>
          <xm:sqref>F4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Eastin Block</vt:lpstr>
      <vt:lpstr>Alyssa Lilly</vt:lpstr>
      <vt:lpstr>Madison Koscielski</vt:lpstr>
      <vt:lpstr>Rosh Mizoory</vt:lpstr>
      <vt:lpstr>Jacob Riedel</vt:lpstr>
      <vt:lpstr>Bowen Steinke</vt:lpstr>
      <vt:lpstr>Lukas White</vt:lpstr>
      <vt:lpstr>Max Yaw</vt:lpstr>
      <vt:lpstr>Team Member 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D. James</dc:creator>
  <cp:keywords/>
  <dc:description/>
  <cp:lastModifiedBy>Bowen D. Steinke</cp:lastModifiedBy>
  <cp:revision/>
  <dcterms:created xsi:type="dcterms:W3CDTF">2022-06-16T12:05:15Z</dcterms:created>
  <dcterms:modified xsi:type="dcterms:W3CDTF">2026-04-23T03:21:14Z</dcterms:modified>
  <cp:category/>
  <cp:contentStatus/>
</cp:coreProperties>
</file>